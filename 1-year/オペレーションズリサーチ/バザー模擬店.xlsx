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showObjects="none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24027\Downloads\"/>
    </mc:Choice>
  </mc:AlternateContent>
  <xr:revisionPtr revIDLastSave="0" documentId="13_ncr:1_{4E7CBF18-480A-4410-92B4-20CA4AA464DE}" xr6:coauthVersionLast="36" xr6:coauthVersionMax="47" xr10:uidLastSave="{00000000-0000-0000-0000-000000000000}"/>
  <bookViews>
    <workbookView xWindow="0" yWindow="0" windowWidth="19200" windowHeight="7450" xr2:uid="{5C3053AB-FDF3-48C5-8F30-FDB7ACA2A4E0}"/>
  </bookViews>
  <sheets>
    <sheet name="マトリックス" sheetId="2" r:id="rId1"/>
    <sheet name="report" sheetId="5" state="hidden" r:id="rId2"/>
  </sheets>
  <definedNames>
    <definedName name="solver_adj" localSheetId="0" hidden="1">マトリックス!$F$4:$M$4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マトリックス!$C$14</definedName>
    <definedName name="solver_lhs2" localSheetId="0" hidden="1">マトリックス!$C$15</definedName>
    <definedName name="solver_lhs3" localSheetId="0" hidden="1">マトリックス!$E$9:$E$13</definedName>
    <definedName name="solver_lhs4" localSheetId="0" hidden="1">マトリックス!$E$7:$E$8</definedName>
    <definedName name="solver_lhs5" localSheetId="0" hidden="1">マトリックス!#REF!</definedName>
    <definedName name="solver_lhs6" localSheetId="0" hidden="1">マトリックス!$C$13</definedName>
    <definedName name="solver_lhs7" localSheetId="0" hidden="1">マトリックス!$C$13</definedName>
    <definedName name="solver_lhs8" localSheetId="0" hidden="1">マトリックス!#REF!</definedName>
    <definedName name="solver_lhs9" localSheetId="0" hidden="1">マトリックス!$D$4:$J$4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マトリックス!$E$6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1</definedName>
    <definedName name="solver_rel4" localSheetId="0" hidden="1">1</definedName>
    <definedName name="solver_rel5" localSheetId="0" hidden="1">2</definedName>
    <definedName name="solver_rel6" localSheetId="0" hidden="1">2</definedName>
    <definedName name="solver_rel7" localSheetId="0" hidden="1">2</definedName>
    <definedName name="solver_rel8" localSheetId="0" hidden="1">2</definedName>
    <definedName name="solver_rel9" localSheetId="0" hidden="1">3</definedName>
    <definedName name="solver_rhs1" localSheetId="0" hidden="1">マトリックス!$E$14</definedName>
    <definedName name="solver_rhs2" localSheetId="0" hidden="1">マトリックス!$E$15</definedName>
    <definedName name="solver_rhs3" localSheetId="0" hidden="1">マトリックス!$C$9:$C$13</definedName>
    <definedName name="solver_rhs4" localSheetId="0" hidden="1">マトリックス!$C$7:$C$8</definedName>
    <definedName name="solver_rhs5" localSheetId="0" hidden="1">0</definedName>
    <definedName name="solver_rhs6" localSheetId="0" hidden="1">0</definedName>
    <definedName name="solver_rhs7" localSheetId="0" hidden="1">0</definedName>
    <definedName name="solver_rhs8" localSheetId="0" hidden="1">0</definedName>
    <definedName name="solver_rhs9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2" l="1"/>
  <c r="E14" i="2"/>
  <c r="E13" i="2"/>
  <c r="E8" i="2" l="1"/>
  <c r="E9" i="2"/>
  <c r="E10" i="2"/>
  <c r="E11" i="2"/>
  <c r="E12" i="2"/>
  <c r="E7" i="2"/>
  <c r="E6" i="2"/>
</calcChain>
</file>

<file path=xl/sharedStrings.xml><?xml version="1.0" encoding="utf-8"?>
<sst xmlns="http://schemas.openxmlformats.org/spreadsheetml/2006/main" count="50" uniqueCount="36">
  <si>
    <t>変数ボックスナンバー</t>
  </si>
  <si>
    <t>変数名</t>
  </si>
  <si>
    <t>Xa</t>
  </si>
  <si>
    <t>Xm</t>
  </si>
  <si>
    <t>Xs</t>
  </si>
  <si>
    <t>Xb</t>
  </si>
  <si>
    <t>Xhs</t>
  </si>
  <si>
    <t>Xhb</t>
  </si>
  <si>
    <t>変数の型</t>
  </si>
  <si>
    <t>変数の値</t>
  </si>
  <si>
    <t>目的関数値</t>
  </si>
  <si>
    <t>MaxA</t>
    <phoneticPr fontId="2"/>
  </si>
  <si>
    <t>≧</t>
    <phoneticPr fontId="2"/>
  </si>
  <si>
    <t>MaxO</t>
  </si>
  <si>
    <t>BalA</t>
  </si>
  <si>
    <t>＝</t>
  </si>
  <si>
    <t>BalO</t>
  </si>
  <si>
    <t>ProdS</t>
  </si>
  <si>
    <t>ProdB</t>
  </si>
  <si>
    <t>レポート作成日 : 2005/06/03 12:59:38</t>
  </si>
  <si>
    <t>目的セル (最大値)</t>
  </si>
  <si>
    <t>セル</t>
  </si>
  <si>
    <t>$E$6</t>
  </si>
  <si>
    <t>変数</t>
    <rPh sb="0" eb="2">
      <t>ヘンスウ</t>
    </rPh>
    <phoneticPr fontId="2"/>
  </si>
  <si>
    <t>計算</t>
  </si>
  <si>
    <t>目的セル</t>
  </si>
  <si>
    <t>名前</t>
  </si>
  <si>
    <t>値</t>
  </si>
  <si>
    <t>係数</t>
  </si>
  <si>
    <t>制約条件</t>
  </si>
  <si>
    <t>潜在</t>
  </si>
  <si>
    <t>価格</t>
  </si>
  <si>
    <t>右辺</t>
  </si>
  <si>
    <t>Xd</t>
    <phoneticPr fontId="2"/>
  </si>
  <si>
    <t>Xhd</t>
    <phoneticPr fontId="2"/>
  </si>
  <si>
    <t>ProdD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</si>
</sst>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8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2" applyFont="1">
      <alignment vertical="center"/>
    </xf>
    <xf numFmtId="0" fontId="1" fillId="0" borderId="0" xfId="2">
      <alignment vertical="center"/>
    </xf>
    <xf numFmtId="0" fontId="1" fillId="0" borderId="0" xfId="1"/>
    <xf numFmtId="0" fontId="3" fillId="0" borderId="0" xfId="1" applyFont="1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right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right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right" vertical="center"/>
    </xf>
  </cellXfs>
  <cellStyles count="3">
    <cellStyle name="標準" xfId="0" builtinId="0"/>
    <cellStyle name="標準_LPTOOL_sample" xfId="1" xr:uid="{515F0310-F0E8-43A7-8FE3-5E43E757E4C2}"/>
    <cellStyle name="標準_Sheet1" xfId="2" xr:uid="{641B367F-C582-4992-9FEC-E0CC4437BD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0B5E-1EC4-48AE-8AF0-234A0917B622}">
  <sheetPr codeName="Sheet2"/>
  <dimension ref="A1:M15"/>
  <sheetViews>
    <sheetView tabSelected="1" zoomScale="130" workbookViewId="0">
      <selection activeCell="E8" sqref="E8"/>
    </sheetView>
  </sheetViews>
  <sheetFormatPr defaultRowHeight="13" x14ac:dyDescent="0.2"/>
  <cols>
    <col min="2" max="2" width="3" customWidth="1"/>
    <col min="4" max="4" width="3" style="8" customWidth="1"/>
  </cols>
  <sheetData>
    <row r="1" spans="1:13" x14ac:dyDescent="0.2">
      <c r="E1" s="8" t="s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</row>
    <row r="2" spans="1:13" x14ac:dyDescent="0.2"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33</v>
      </c>
      <c r="M2" t="s">
        <v>34</v>
      </c>
    </row>
    <row r="3" spans="1:13" x14ac:dyDescent="0.2">
      <c r="E3" t="s">
        <v>8</v>
      </c>
    </row>
    <row r="4" spans="1:13" x14ac:dyDescent="0.2">
      <c r="E4" t="s">
        <v>9</v>
      </c>
      <c r="F4" s="9">
        <v>36000</v>
      </c>
      <c r="G4" s="9">
        <v>23400</v>
      </c>
      <c r="H4" s="9">
        <v>480</v>
      </c>
      <c r="I4" s="9">
        <v>90</v>
      </c>
      <c r="J4" s="9">
        <v>480</v>
      </c>
      <c r="K4" s="9">
        <v>90</v>
      </c>
      <c r="L4" s="9">
        <v>89.999999999999986</v>
      </c>
      <c r="M4" s="9">
        <v>89.999999999999986</v>
      </c>
    </row>
    <row r="5" spans="1:13" x14ac:dyDescent="0.2">
      <c r="C5" t="s">
        <v>10</v>
      </c>
    </row>
    <row r="6" spans="1:13" x14ac:dyDescent="0.2">
      <c r="C6" s="10"/>
      <c r="D6" s="11"/>
      <c r="E6" s="10">
        <f>SUMPRODUCT(F4:IV4,F6:IV6)</f>
        <v>20100</v>
      </c>
      <c r="F6" s="10">
        <v>-1</v>
      </c>
      <c r="G6" s="10">
        <v>-0.5</v>
      </c>
      <c r="H6" s="10">
        <v>0</v>
      </c>
      <c r="I6" s="10">
        <v>0</v>
      </c>
      <c r="J6" s="10">
        <v>100</v>
      </c>
      <c r="K6" s="10">
        <v>100</v>
      </c>
      <c r="L6" s="10">
        <v>0</v>
      </c>
      <c r="M6" s="10">
        <v>120</v>
      </c>
    </row>
    <row r="7" spans="1:13" x14ac:dyDescent="0.2">
      <c r="A7" t="s">
        <v>11</v>
      </c>
      <c r="C7" s="12">
        <v>36000</v>
      </c>
      <c r="D7" s="13" t="s">
        <v>12</v>
      </c>
      <c r="E7" s="12">
        <f t="shared" ref="E7:E12" si="0">SUMPRODUCT($F$4:$IV$4,F7:IV7)</f>
        <v>36000</v>
      </c>
      <c r="F7" s="12">
        <v>1</v>
      </c>
      <c r="G7" s="12"/>
      <c r="H7" s="12"/>
      <c r="I7" s="12"/>
      <c r="J7" s="12"/>
      <c r="K7" s="12"/>
      <c r="L7" s="12"/>
      <c r="M7" s="12"/>
    </row>
    <row r="8" spans="1:13" x14ac:dyDescent="0.2">
      <c r="A8" t="s">
        <v>13</v>
      </c>
      <c r="C8" s="12">
        <v>36000</v>
      </c>
      <c r="D8" s="13" t="s">
        <v>12</v>
      </c>
      <c r="E8" s="12">
        <f t="shared" si="0"/>
        <v>23400</v>
      </c>
      <c r="F8" s="12"/>
      <c r="G8" s="12">
        <v>1</v>
      </c>
      <c r="H8" s="12"/>
      <c r="I8" s="12"/>
      <c r="J8" s="12"/>
      <c r="K8" s="12"/>
      <c r="L8" s="12"/>
      <c r="M8" s="12"/>
    </row>
    <row r="9" spans="1:13" x14ac:dyDescent="0.2">
      <c r="A9" t="s">
        <v>14</v>
      </c>
      <c r="C9" s="14">
        <v>0</v>
      </c>
      <c r="D9" s="15" t="s">
        <v>15</v>
      </c>
      <c r="E9" s="14">
        <f t="shared" si="0"/>
        <v>-9.0949470177292824E-13</v>
      </c>
      <c r="F9" s="14">
        <v>-1</v>
      </c>
      <c r="G9" s="14"/>
      <c r="H9" s="14">
        <v>60</v>
      </c>
      <c r="I9" s="14">
        <v>30</v>
      </c>
      <c r="J9" s="14"/>
      <c r="K9" s="14"/>
      <c r="L9" s="14">
        <v>50</v>
      </c>
      <c r="M9" s="14"/>
    </row>
    <row r="10" spans="1:13" x14ac:dyDescent="0.2">
      <c r="A10" t="s">
        <v>16</v>
      </c>
      <c r="C10" s="14">
        <v>0</v>
      </c>
      <c r="D10" s="15" t="s">
        <v>15</v>
      </c>
      <c r="E10" s="14">
        <f t="shared" si="0"/>
        <v>-4.5474735088646412E-13</v>
      </c>
      <c r="F10" s="14"/>
      <c r="G10" s="14">
        <v>-1</v>
      </c>
      <c r="H10" s="14">
        <v>30</v>
      </c>
      <c r="I10" s="14">
        <v>60</v>
      </c>
      <c r="J10" s="14"/>
      <c r="K10" s="14"/>
      <c r="L10" s="14">
        <v>40</v>
      </c>
      <c r="M10" s="14"/>
    </row>
    <row r="11" spans="1:13" x14ac:dyDescent="0.2">
      <c r="A11" t="s">
        <v>17</v>
      </c>
      <c r="C11" s="14">
        <v>0</v>
      </c>
      <c r="D11" s="15" t="s">
        <v>15</v>
      </c>
      <c r="E11" s="14">
        <f t="shared" si="0"/>
        <v>0</v>
      </c>
      <c r="F11" s="14"/>
      <c r="G11" s="14"/>
      <c r="H11" s="14">
        <v>-1</v>
      </c>
      <c r="I11" s="14"/>
      <c r="J11" s="14">
        <v>1</v>
      </c>
      <c r="K11" s="14"/>
      <c r="L11" s="14"/>
      <c r="M11" s="14"/>
    </row>
    <row r="12" spans="1:13" x14ac:dyDescent="0.2">
      <c r="A12" t="s">
        <v>18</v>
      </c>
      <c r="C12" s="14">
        <v>0</v>
      </c>
      <c r="D12" s="15" t="s">
        <v>15</v>
      </c>
      <c r="E12" s="14">
        <f t="shared" si="0"/>
        <v>0</v>
      </c>
      <c r="F12" s="14"/>
      <c r="G12" s="14"/>
      <c r="H12" s="14"/>
      <c r="I12" s="14">
        <v>-1</v>
      </c>
      <c r="J12" s="14"/>
      <c r="K12" s="14">
        <v>1</v>
      </c>
      <c r="L12" s="14"/>
      <c r="M12" s="14"/>
    </row>
    <row r="13" spans="1:13" x14ac:dyDescent="0.2">
      <c r="A13" t="s">
        <v>35</v>
      </c>
      <c r="C13" s="14">
        <v>0</v>
      </c>
      <c r="D13" s="15" t="s">
        <v>15</v>
      </c>
      <c r="E13" s="14">
        <f t="shared" ref="E13" si="1">SUMPRODUCT($F$4:$IV$4,F13:IV13)</f>
        <v>0</v>
      </c>
      <c r="F13" s="14"/>
      <c r="G13" s="14"/>
      <c r="H13" s="14"/>
      <c r="I13" s="14"/>
      <c r="J13" s="14"/>
      <c r="K13" s="14"/>
      <c r="L13" s="14">
        <v>-1</v>
      </c>
      <c r="M13" s="14">
        <v>1</v>
      </c>
    </row>
    <row r="14" spans="1:13" x14ac:dyDescent="0.2">
      <c r="C14" s="14">
        <v>90</v>
      </c>
      <c r="D14" s="15" t="s">
        <v>15</v>
      </c>
      <c r="E14" s="14">
        <f t="shared" ref="E14:E15" si="2">SUMPRODUCT($F$4:$IV$4,F14:IV14)</f>
        <v>89.999999999999986</v>
      </c>
      <c r="F14" s="14"/>
      <c r="G14" s="14"/>
      <c r="H14" s="14"/>
      <c r="I14" s="14"/>
      <c r="J14" s="14"/>
      <c r="K14" s="14"/>
      <c r="L14" s="14"/>
      <c r="M14" s="14">
        <v>1</v>
      </c>
    </row>
    <row r="15" spans="1:13" x14ac:dyDescent="0.2">
      <c r="C15" s="14">
        <v>90</v>
      </c>
      <c r="D15" s="15" t="s">
        <v>15</v>
      </c>
      <c r="E15" s="14">
        <f t="shared" si="2"/>
        <v>90</v>
      </c>
      <c r="F15" s="14"/>
      <c r="G15" s="14"/>
      <c r="H15" s="14"/>
      <c r="I15" s="14">
        <v>1</v>
      </c>
      <c r="J15" s="14"/>
      <c r="K15" s="14"/>
      <c r="L15" s="14"/>
      <c r="M15" s="14"/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C622-E04E-4AA6-9C8C-C5F0C429BD3C}">
  <sheetPr codeName="Sheet4"/>
  <dimension ref="A1:L15"/>
  <sheetViews>
    <sheetView workbookViewId="0"/>
  </sheetViews>
  <sheetFormatPr defaultColWidth="9" defaultRowHeight="13" x14ac:dyDescent="0.2"/>
  <cols>
    <col min="1" max="2" width="9" style="3"/>
    <col min="3" max="3" width="11.08984375" style="3" customWidth="1"/>
    <col min="4" max="16384" width="9" style="3"/>
  </cols>
  <sheetData>
    <row r="1" spans="1:12" x14ac:dyDescent="0.2">
      <c r="A1" s="1" t="s">
        <v>19</v>
      </c>
      <c r="B1" s="2"/>
      <c r="C1" s="2"/>
    </row>
    <row r="2" spans="1:12" x14ac:dyDescent="0.2">
      <c r="A2" s="2"/>
      <c r="B2" s="2"/>
      <c r="C2" s="2"/>
    </row>
    <row r="4" spans="1:12" ht="13.5" thickBot="1" x14ac:dyDescent="0.25">
      <c r="A4" s="4" t="s">
        <v>20</v>
      </c>
    </row>
    <row r="5" spans="1:12" ht="13.5" thickBot="1" x14ac:dyDescent="0.25">
      <c r="B5" s="5" t="s">
        <v>21</v>
      </c>
      <c r="C5" s="5" t="s">
        <v>10</v>
      </c>
    </row>
    <row r="6" spans="1:12" ht="13.5" thickBot="1" x14ac:dyDescent="0.25">
      <c r="B6" s="3" t="s">
        <v>22</v>
      </c>
    </row>
    <row r="7" spans="1:12" x14ac:dyDescent="0.2">
      <c r="B7" s="6"/>
      <c r="C7" s="6"/>
    </row>
    <row r="8" spans="1:12" ht="13.5" thickBot="1" x14ac:dyDescent="0.25">
      <c r="A8" s="1" t="s">
        <v>23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">
      <c r="A9" s="2"/>
      <c r="B9" s="6"/>
      <c r="C9" s="6"/>
      <c r="D9" s="6" t="s">
        <v>24</v>
      </c>
      <c r="E9" s="6" t="s">
        <v>25</v>
      </c>
    </row>
    <row r="10" spans="1:12" ht="13.5" thickBot="1" x14ac:dyDescent="0.25">
      <c r="A10" s="2"/>
      <c r="B10" s="7" t="s">
        <v>21</v>
      </c>
      <c r="C10" s="7" t="s">
        <v>26</v>
      </c>
      <c r="D10" s="7" t="s">
        <v>27</v>
      </c>
      <c r="E10" s="7" t="s">
        <v>28</v>
      </c>
    </row>
    <row r="11" spans="1:12" x14ac:dyDescent="0.2">
      <c r="A11" s="2"/>
      <c r="B11" s="2"/>
      <c r="C11" s="2"/>
      <c r="D11" s="2"/>
      <c r="E11" s="2"/>
    </row>
    <row r="12" spans="1:12" x14ac:dyDescent="0.2">
      <c r="A12" s="2"/>
      <c r="B12" s="2"/>
      <c r="C12" s="2"/>
      <c r="D12" s="2"/>
      <c r="E12" s="2"/>
      <c r="F12" s="2"/>
      <c r="G12" s="2"/>
      <c r="H12" s="2"/>
    </row>
    <row r="13" spans="1:12" ht="13.5" thickBot="1" x14ac:dyDescent="0.25">
      <c r="A13" s="1" t="s">
        <v>29</v>
      </c>
      <c r="B13" s="2"/>
      <c r="C13" s="2"/>
      <c r="D13" s="2"/>
      <c r="E13" s="2"/>
      <c r="F13" s="2"/>
    </row>
    <row r="14" spans="1:12" x14ac:dyDescent="0.2">
      <c r="A14" s="2"/>
      <c r="B14" s="6"/>
      <c r="C14" s="6"/>
      <c r="D14" s="6" t="s">
        <v>24</v>
      </c>
      <c r="E14" s="6" t="s">
        <v>30</v>
      </c>
      <c r="F14" s="6" t="s">
        <v>29</v>
      </c>
    </row>
    <row r="15" spans="1:12" ht="13.5" thickBot="1" x14ac:dyDescent="0.25">
      <c r="A15" s="2"/>
      <c r="B15" s="7" t="s">
        <v>21</v>
      </c>
      <c r="C15" s="7" t="s">
        <v>26</v>
      </c>
      <c r="D15" s="7" t="s">
        <v>27</v>
      </c>
      <c r="E15" s="7" t="s">
        <v>31</v>
      </c>
      <c r="F15" s="7" t="s">
        <v>32</v>
      </c>
    </row>
  </sheetData>
  <phoneticPr fontId="2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マトリックス</vt:lpstr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鈴木康司</dc:creator>
  <cp:keywords/>
  <dc:description/>
  <cp:lastModifiedBy>出羽　諒成</cp:lastModifiedBy>
  <cp:revision/>
  <dcterms:created xsi:type="dcterms:W3CDTF">2002-11-15T01:46:15Z</dcterms:created>
  <dcterms:modified xsi:type="dcterms:W3CDTF">2024-11-12T07:25:58Z</dcterms:modified>
  <cp:category/>
  <cp:contentStatus/>
</cp:coreProperties>
</file>