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2.xml" ContentType="application/vnd.openxmlformats-officedocument.drawing+xml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J24027\Downloads\"/>
    </mc:Choice>
  </mc:AlternateContent>
  <xr:revisionPtr revIDLastSave="0" documentId="13_ncr:1_{0F84BDF4-347D-406C-954F-AC402A546400}" xr6:coauthVersionLast="36" xr6:coauthVersionMax="47" xr10:uidLastSave="{00000000-0000-0000-0000-000000000000}"/>
  <bookViews>
    <workbookView xWindow="0" yWindow="0" windowWidth="19200" windowHeight="7450" xr2:uid="{F0A13CC6-B00B-44A7-B1CF-3AEEF0E02DB7}"/>
  </bookViews>
  <sheets>
    <sheet name="解説" sheetId="7" r:id="rId1"/>
    <sheet name="主問題" sheetId="4" r:id="rId2"/>
    <sheet name="双対問題" sheetId="3" r:id="rId3"/>
    <sheet name="掃き出し" sheetId="8" r:id="rId4"/>
    <sheet name="掃き出しD" sheetId="9" r:id="rId5"/>
    <sheet name="Sheet1" sheetId="10" r:id="rId6"/>
  </sheets>
  <definedNames>
    <definedName name="_xlnm.Print_Area" localSheetId="1">主問題!$B$1:$I$10</definedName>
    <definedName name="solver_adj" localSheetId="0" hidden="1">解説!$D$18:$E$18</definedName>
    <definedName name="solver_adj" localSheetId="1" hidden="1">主問題!#REF!</definedName>
    <definedName name="solver_adj" localSheetId="2" hidden="1">双対問題!$D$5:$E$5</definedName>
    <definedName name="solver_cvg" localSheetId="0" hidden="1">0.0001</definedName>
    <definedName name="solver_cvg" localSheetId="1" hidden="1">0.001</definedName>
    <definedName name="solver_cvg" localSheetId="2" hidden="1">0.001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100</definedName>
    <definedName name="solver_itr" localSheetId="2" hidden="1">100</definedName>
    <definedName name="solver_lhs1" localSheetId="0" hidden="1">解説!$G$15:$G$17</definedName>
    <definedName name="solver_lhs1" localSheetId="1" hidden="1">主問題!#REF!</definedName>
    <definedName name="solver_lhs1" localSheetId="2" hidden="1">双対問題!$G$2</definedName>
    <definedName name="solver_lhs2" localSheetId="0" hidden="1">解説!$E$7</definedName>
    <definedName name="solver_lhs2" localSheetId="1" hidden="1">主問題!#REF!</definedName>
    <definedName name="solver_lhs2" localSheetId="2" hidden="1">双対問題!$G$3</definedName>
    <definedName name="solver_lhs3" localSheetId="0" hidden="1">解説!$G$17</definedName>
    <definedName name="solver_lhs3" localSheetId="1" hidden="1">主問題!#REF!</definedName>
    <definedName name="solver_lhs3" localSheetId="2" hidden="1">双対問題!$G$4</definedName>
    <definedName name="solver_lhs4" localSheetId="1" hidden="1">主問題!$E$4</definedName>
    <definedName name="solver_lhs4" localSheetId="2" hidden="1">双対問題!$B$6</definedName>
    <definedName name="solver_lhs5" localSheetId="1" hidden="1">主問題!$E$4</definedName>
    <definedName name="solver_lhs5" localSheetId="2" hidden="1">双対問題!$B$7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um" localSheetId="0" hidden="1">1</definedName>
    <definedName name="solver_num" localSheetId="1" hidden="1">3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解説!$F$18</definedName>
    <definedName name="solver_opt" localSheetId="1" hidden="1">主問題!#REF!</definedName>
    <definedName name="solver_opt" localSheetId="2" hidden="1">双対問題!$F$5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1" hidden="1">3</definedName>
    <definedName name="solver_rel4" localSheetId="2" hidden="1">3</definedName>
    <definedName name="solver_rel5" localSheetId="1" hidden="1">3</definedName>
    <definedName name="solver_rel5" localSheetId="2" hidden="1">3</definedName>
    <definedName name="solver_rhs1" localSheetId="0" hidden="1">解説!$C$15:$C$17</definedName>
    <definedName name="solver_rhs1" localSheetId="1" hidden="1">主問題!#REF!</definedName>
    <definedName name="solver_rhs1" localSheetId="2" hidden="1">双対問題!$C$2</definedName>
    <definedName name="solver_rhs2" localSheetId="0" hidden="1">解説!$E$6</definedName>
    <definedName name="solver_rhs2" localSheetId="1" hidden="1">主問題!#REF!</definedName>
    <definedName name="solver_rhs2" localSheetId="2" hidden="1">双対問題!$C$3</definedName>
    <definedName name="solver_rhs3" localSheetId="0" hidden="1">解説!$C$17</definedName>
    <definedName name="solver_rhs3" localSheetId="1" hidden="1">主問題!#REF!</definedName>
    <definedName name="solver_rhs3" localSheetId="2" hidden="1">双対問題!$C$4</definedName>
    <definedName name="solver_rhs4" localSheetId="1" hidden="1">0</definedName>
    <definedName name="solver_rhs4" localSheetId="2" hidden="1">0</definedName>
    <definedName name="solver_rhs5" localSheetId="1" hidden="1">0</definedName>
    <definedName name="solver_rhs5" localSheetId="2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tim" localSheetId="0" hidden="1">2147483647</definedName>
    <definedName name="solver_tim" localSheetId="1" hidden="1">100</definedName>
    <definedName name="solver_tim" localSheetId="2" hidden="1">100</definedName>
    <definedName name="solver_tol" localSheetId="0" hidden="1">0.01</definedName>
    <definedName name="solver_tol" localSheetId="1" hidden="1">0.05</definedName>
    <definedName name="solver_tol" localSheetId="2" hidden="1">0.05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7" l="1"/>
  <c r="E6" i="7" l="1"/>
  <c r="D6" i="7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4" i="10"/>
  <c r="D51" i="10"/>
  <c r="E51" i="10"/>
  <c r="F51" i="10"/>
  <c r="D52" i="10"/>
  <c r="E52" i="10"/>
  <c r="F52" i="10"/>
  <c r="D53" i="10"/>
  <c r="E53" i="10"/>
  <c r="F53" i="10"/>
  <c r="D54" i="10"/>
  <c r="E54" i="10"/>
  <c r="F54" i="10"/>
  <c r="D55" i="10"/>
  <c r="E55" i="10"/>
  <c r="F55" i="10"/>
  <c r="D56" i="10"/>
  <c r="E56" i="10"/>
  <c r="F56" i="10"/>
  <c r="D57" i="10"/>
  <c r="E57" i="10"/>
  <c r="F57" i="10"/>
  <c r="D58" i="10"/>
  <c r="E58" i="10"/>
  <c r="F58" i="10"/>
  <c r="D59" i="10"/>
  <c r="E59" i="10"/>
  <c r="F59" i="10"/>
  <c r="D60" i="10"/>
  <c r="E60" i="10"/>
  <c r="F60" i="10"/>
  <c r="D61" i="10"/>
  <c r="E61" i="10"/>
  <c r="F61" i="10"/>
  <c r="D62" i="10"/>
  <c r="E62" i="10"/>
  <c r="F62" i="10"/>
  <c r="D63" i="10"/>
  <c r="E63" i="10"/>
  <c r="F63" i="10"/>
  <c r="D64" i="10"/>
  <c r="E64" i="10"/>
  <c r="F64" i="10"/>
  <c r="D65" i="10"/>
  <c r="E65" i="10"/>
  <c r="F65" i="10"/>
  <c r="D66" i="10"/>
  <c r="E66" i="10"/>
  <c r="F66" i="10"/>
  <c r="D67" i="10"/>
  <c r="E67" i="10"/>
  <c r="F67" i="10"/>
  <c r="D5" i="10"/>
  <c r="E5" i="10"/>
  <c r="F5" i="10"/>
  <c r="D6" i="10"/>
  <c r="E6" i="10"/>
  <c r="F6" i="10"/>
  <c r="D7" i="10"/>
  <c r="E7" i="10"/>
  <c r="F7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D37" i="10"/>
  <c r="E37" i="10"/>
  <c r="F37" i="10"/>
  <c r="D38" i="10"/>
  <c r="E38" i="10"/>
  <c r="F38" i="10"/>
  <c r="D39" i="10"/>
  <c r="E39" i="10"/>
  <c r="F39" i="10"/>
  <c r="D40" i="10"/>
  <c r="E40" i="10"/>
  <c r="F40" i="10"/>
  <c r="D41" i="10"/>
  <c r="E41" i="10"/>
  <c r="F41" i="10"/>
  <c r="D42" i="10"/>
  <c r="E42" i="10"/>
  <c r="F42" i="10"/>
  <c r="D43" i="10"/>
  <c r="E43" i="10"/>
  <c r="F43" i="10"/>
  <c r="D44" i="10"/>
  <c r="E44" i="10"/>
  <c r="F44" i="10"/>
  <c r="D45" i="10"/>
  <c r="E45" i="10"/>
  <c r="F45" i="10"/>
  <c r="D46" i="10"/>
  <c r="E46" i="10"/>
  <c r="F46" i="10"/>
  <c r="D47" i="10"/>
  <c r="E47" i="10"/>
  <c r="F47" i="10"/>
  <c r="D48" i="10"/>
  <c r="E48" i="10"/>
  <c r="F48" i="10"/>
  <c r="D49" i="10"/>
  <c r="E49" i="10"/>
  <c r="F49" i="10"/>
  <c r="D50" i="10"/>
  <c r="E50" i="10"/>
  <c r="F50" i="10"/>
  <c r="F4" i="10"/>
  <c r="E4" i="10"/>
  <c r="D4" i="10"/>
  <c r="A32" i="9"/>
  <c r="B36" i="9"/>
  <c r="B35" i="9"/>
  <c r="C36" i="9"/>
  <c r="C35" i="9"/>
  <c r="D36" i="9"/>
  <c r="D35" i="9"/>
  <c r="E36" i="9"/>
  <c r="E35" i="9"/>
  <c r="F36" i="9"/>
  <c r="F35" i="9"/>
  <c r="A36" i="9"/>
  <c r="A37" i="9"/>
  <c r="B32" i="9"/>
  <c r="C32" i="9"/>
  <c r="C37" i="9"/>
  <c r="D32" i="9"/>
  <c r="D37" i="9"/>
  <c r="E32" i="9"/>
  <c r="E37" i="9"/>
  <c r="F32" i="9"/>
  <c r="F37" i="9"/>
  <c r="B15" i="9"/>
  <c r="B16" i="9"/>
  <c r="B21" i="9"/>
  <c r="C15" i="9"/>
  <c r="D15" i="9"/>
  <c r="D16" i="9"/>
  <c r="D21" i="9"/>
  <c r="D20" i="9"/>
  <c r="E15" i="9"/>
  <c r="E16" i="9"/>
  <c r="E21" i="9"/>
  <c r="E20" i="9"/>
  <c r="F15" i="9"/>
  <c r="G15" i="9"/>
  <c r="H15" i="9"/>
  <c r="A15" i="9"/>
  <c r="A16" i="9"/>
  <c r="A21" i="9"/>
  <c r="B12" i="9"/>
  <c r="B17" i="9"/>
  <c r="C12" i="9"/>
  <c r="C17" i="9"/>
  <c r="D12" i="9"/>
  <c r="D17" i="9"/>
  <c r="D22" i="9"/>
  <c r="E12" i="9"/>
  <c r="F12" i="9"/>
  <c r="F17" i="9"/>
  <c r="G12" i="9"/>
  <c r="G17" i="9"/>
  <c r="H12" i="9"/>
  <c r="H17" i="9"/>
  <c r="A12" i="9"/>
  <c r="A17" i="9"/>
  <c r="C9" i="8"/>
  <c r="C12" i="8"/>
  <c r="D9" i="8"/>
  <c r="E9" i="8"/>
  <c r="E11" i="8"/>
  <c r="E17" i="8"/>
  <c r="E18" i="8"/>
  <c r="F9" i="8"/>
  <c r="F10" i="8"/>
  <c r="G9" i="8"/>
  <c r="B9" i="8"/>
  <c r="B11" i="8"/>
  <c r="B17" i="8"/>
  <c r="B15" i="8"/>
  <c r="G17" i="7"/>
  <c r="G16" i="7"/>
  <c r="F18" i="7"/>
  <c r="C5" i="7"/>
  <c r="F6" i="4"/>
  <c r="E6" i="4"/>
  <c r="D5" i="4"/>
  <c r="G3" i="3"/>
  <c r="G4" i="3"/>
  <c r="G2" i="3"/>
  <c r="F5" i="3"/>
  <c r="G16" i="9"/>
  <c r="C16" i="9"/>
  <c r="C21" i="9"/>
  <c r="C20" i="9"/>
  <c r="E10" i="8"/>
  <c r="E16" i="8"/>
  <c r="G11" i="8"/>
  <c r="E12" i="8"/>
  <c r="D10" i="8"/>
  <c r="D16" i="8"/>
  <c r="G10" i="8"/>
  <c r="G16" i="8"/>
  <c r="G12" i="8"/>
  <c r="D12" i="8"/>
  <c r="D18" i="8"/>
  <c r="D11" i="8"/>
  <c r="F16" i="9"/>
  <c r="F21" i="9"/>
  <c r="F20" i="9"/>
  <c r="C10" i="8"/>
  <c r="C11" i="8"/>
  <c r="C17" i="8"/>
  <c r="E17" i="9"/>
  <c r="E22" i="9"/>
  <c r="D17" i="8"/>
  <c r="G17" i="8"/>
  <c r="G15" i="8" s="1"/>
  <c r="D15" i="8"/>
  <c r="C15" i="8"/>
  <c r="C16" i="8"/>
  <c r="A22" i="9"/>
  <c r="A20" i="9"/>
  <c r="C22" i="9"/>
  <c r="C18" i="8"/>
  <c r="F22" i="9"/>
  <c r="B22" i="9"/>
  <c r="G18" i="8"/>
  <c r="B37" i="9"/>
  <c r="F11" i="8"/>
  <c r="F17" i="8"/>
  <c r="F15" i="8"/>
  <c r="B12" i="8"/>
  <c r="B18" i="8"/>
  <c r="H16" i="9"/>
  <c r="H21" i="9"/>
  <c r="H22" i="9"/>
  <c r="G21" i="9"/>
  <c r="G20" i="9"/>
  <c r="F12" i="8"/>
  <c r="B20" i="9"/>
  <c r="A35" i="9"/>
  <c r="E15" i="8"/>
  <c r="B10" i="8"/>
  <c r="B16" i="8"/>
  <c r="G22" i="9"/>
  <c r="F16" i="8"/>
  <c r="F18" i="8"/>
  <c r="H20" i="9"/>
</calcChain>
</file>

<file path=xl/sharedStrings.xml><?xml version="1.0" encoding="utf-8"?>
<sst xmlns="http://schemas.openxmlformats.org/spreadsheetml/2006/main" count="91" uniqueCount="39">
  <si>
    <t>賢い主婦Ａ</t>
    <rPh sb="0" eb="1">
      <t>カシコ</t>
    </rPh>
    <rPh sb="2" eb="4">
      <t>シュフ</t>
    </rPh>
    <phoneticPr fontId="1"/>
  </si>
  <si>
    <t>単価（円）</t>
    <rPh sb="0" eb="2">
      <t>タンカ</t>
    </rPh>
    <rPh sb="3" eb="4">
      <t>エン</t>
    </rPh>
    <phoneticPr fontId="1"/>
  </si>
  <si>
    <t>ビタミンＣ（ｍｇ）</t>
    <phoneticPr fontId="1"/>
  </si>
  <si>
    <t>ビタミンＤ（ｍｇ）</t>
    <phoneticPr fontId="1"/>
  </si>
  <si>
    <t>購入量</t>
    <rPh sb="0" eb="2">
      <t>コウニュウ</t>
    </rPh>
    <rPh sb="2" eb="3">
      <t>リョウ</t>
    </rPh>
    <phoneticPr fontId="1"/>
  </si>
  <si>
    <t>食材１</t>
    <rPh sb="0" eb="2">
      <t>ショクザイ</t>
    </rPh>
    <phoneticPr fontId="1"/>
  </si>
  <si>
    <t>食材２</t>
    <rPh sb="0" eb="2">
      <t>ショクザイ</t>
    </rPh>
    <phoneticPr fontId="1"/>
  </si>
  <si>
    <t>食材３</t>
    <rPh sb="0" eb="2">
      <t>ショクザイ</t>
    </rPh>
    <phoneticPr fontId="1"/>
  </si>
  <si>
    <t>支出</t>
    <rPh sb="0" eb="2">
      <t>シシュツ</t>
    </rPh>
    <phoneticPr fontId="1"/>
  </si>
  <si>
    <t>含有量</t>
    <rPh sb="0" eb="2">
      <t>ガンユウ</t>
    </rPh>
    <rPh sb="2" eb="3">
      <t>リョウ</t>
    </rPh>
    <phoneticPr fontId="1"/>
  </si>
  <si>
    <t>必要量</t>
    <rPh sb="0" eb="2">
      <t>ヒツヨウ</t>
    </rPh>
    <rPh sb="2" eb="3">
      <t>リョウ</t>
    </rPh>
    <phoneticPr fontId="1"/>
  </si>
  <si>
    <t>支出を最小にしたい：：</t>
    <rPh sb="0" eb="2">
      <t>シシュツ</t>
    </rPh>
    <rPh sb="3" eb="5">
      <t>サイショウ</t>
    </rPh>
    <phoneticPr fontId="1"/>
  </si>
  <si>
    <t>ただし</t>
    <phoneticPr fontId="1"/>
  </si>
  <si>
    <t>＞</t>
    <phoneticPr fontId="1"/>
  </si>
  <si>
    <t>双対問題</t>
    <rPh sb="0" eb="2">
      <t>ソウツイ</t>
    </rPh>
    <rPh sb="2" eb="4">
      <t>モンダイ</t>
    </rPh>
    <phoneticPr fontId="1"/>
  </si>
  <si>
    <t>賢い主婦Ｂ</t>
    <rPh sb="0" eb="1">
      <t>カシコ</t>
    </rPh>
    <rPh sb="2" eb="4">
      <t>シュフ</t>
    </rPh>
    <phoneticPr fontId="1"/>
  </si>
  <si>
    <t>換算価格</t>
    <rPh sb="0" eb="2">
      <t>カンサン</t>
    </rPh>
    <rPh sb="2" eb="4">
      <t>カカク</t>
    </rPh>
    <phoneticPr fontId="1"/>
  </si>
  <si>
    <t>Ｖの価格</t>
    <rPh sb="2" eb="4">
      <t>カカク</t>
    </rPh>
    <phoneticPr fontId="1"/>
  </si>
  <si>
    <t>払える最大価格を決めたい：：</t>
    <rPh sb="0" eb="1">
      <t>ハラ</t>
    </rPh>
    <rPh sb="3" eb="5">
      <t>サイダイ</t>
    </rPh>
    <rPh sb="5" eb="7">
      <t>カカク</t>
    </rPh>
    <rPh sb="8" eb="9">
      <t>キ</t>
    </rPh>
    <phoneticPr fontId="1"/>
  </si>
  <si>
    <t>上の数値は最適解である</t>
    <rPh sb="0" eb="1">
      <t>ウエ</t>
    </rPh>
    <rPh sb="2" eb="4">
      <t>スウチ</t>
    </rPh>
    <rPh sb="5" eb="7">
      <t>サイテキ</t>
    </rPh>
    <rPh sb="7" eb="8">
      <t>カイ</t>
    </rPh>
    <phoneticPr fontId="1"/>
  </si>
  <si>
    <t>とすると、</t>
    <phoneticPr fontId="1"/>
  </si>
  <si>
    <t>上の制約式から、</t>
    <rPh sb="0" eb="1">
      <t>ウエ</t>
    </rPh>
    <rPh sb="2" eb="4">
      <t>セイヤク</t>
    </rPh>
    <rPh sb="4" eb="5">
      <t>シキ</t>
    </rPh>
    <phoneticPr fontId="1"/>
  </si>
  <si>
    <t>を解くと</t>
    <rPh sb="1" eb="2">
      <t>ト</t>
    </rPh>
    <phoneticPr fontId="1"/>
  </si>
  <si>
    <t>これを支出に代入すると</t>
    <rPh sb="3" eb="5">
      <t>シシュツ</t>
    </rPh>
    <rPh sb="6" eb="8">
      <t>ダイニュウ</t>
    </rPh>
    <phoneticPr fontId="1"/>
  </si>
  <si>
    <t>を得る。これより、</t>
    <rPh sb="1" eb="2">
      <t>エ</t>
    </rPh>
    <phoneticPr fontId="1"/>
  </si>
  <si>
    <t>のときが最小を与えることがわかる。</t>
    <rPh sb="4" eb="6">
      <t>サイショウ</t>
    </rPh>
    <rPh sb="7" eb="8">
      <t>アタ</t>
    </rPh>
    <phoneticPr fontId="1"/>
  </si>
  <si>
    <t>また、</t>
    <phoneticPr fontId="1"/>
  </si>
  <si>
    <t>をそれぞれ、１単位増加させると、５５、４５または３０の支出の増大となることがわかる。</t>
    <rPh sb="7" eb="9">
      <t>タンイ</t>
    </rPh>
    <rPh sb="9" eb="11">
      <t>ゾウカ</t>
    </rPh>
    <rPh sb="27" eb="29">
      <t>シシュツ</t>
    </rPh>
    <rPh sb="30" eb="32">
      <t>ゾウダイ</t>
    </rPh>
    <phoneticPr fontId="1"/>
  </si>
  <si>
    <t>このことは、ＶＣとＶＤの潜在価格がそれぞれ４５と３０であることを意味する。</t>
    <rPh sb="12" eb="14">
      <t>センザイ</t>
    </rPh>
    <rPh sb="14" eb="16">
      <t>カカク</t>
    </rPh>
    <rPh sb="32" eb="34">
      <t>イミ</t>
    </rPh>
    <phoneticPr fontId="1"/>
  </si>
  <si>
    <t>上の制約式の食材１と食材３から、</t>
    <rPh sb="0" eb="1">
      <t>ウエ</t>
    </rPh>
    <rPh sb="2" eb="4">
      <t>セイヤク</t>
    </rPh>
    <rPh sb="4" eb="5">
      <t>シキ</t>
    </rPh>
    <rPh sb="6" eb="8">
      <t>ショクザイ</t>
    </rPh>
    <rPh sb="10" eb="12">
      <t>ショクザイ</t>
    </rPh>
    <phoneticPr fontId="1"/>
  </si>
  <si>
    <t>のときが最大を与えることがわかる。</t>
    <rPh sb="4" eb="6">
      <t>サイダイ</t>
    </rPh>
    <rPh sb="7" eb="8">
      <t>アタ</t>
    </rPh>
    <phoneticPr fontId="1"/>
  </si>
  <si>
    <t>をそれぞれ、１単位増加させると、９または３の支出の現象となることがわかる。</t>
    <rPh sb="7" eb="9">
      <t>タンイ</t>
    </rPh>
    <rPh sb="9" eb="11">
      <t>ゾウカ</t>
    </rPh>
    <rPh sb="22" eb="24">
      <t>シシュツ</t>
    </rPh>
    <rPh sb="25" eb="27">
      <t>ゲンショウ</t>
    </rPh>
    <phoneticPr fontId="1"/>
  </si>
  <si>
    <t>このことは、食材１と食材２の潜在価格がそれぞれ９と３であることを意味する。</t>
    <rPh sb="6" eb="8">
      <t>ショクザイ</t>
    </rPh>
    <rPh sb="10" eb="12">
      <t>ショクザイ</t>
    </rPh>
    <rPh sb="14" eb="16">
      <t>センザイ</t>
    </rPh>
    <rPh sb="16" eb="18">
      <t>カカク</t>
    </rPh>
    <rPh sb="32" eb="34">
      <t>イミ</t>
    </rPh>
    <phoneticPr fontId="1"/>
  </si>
  <si>
    <t>金＝</t>
    <rPh sb="0" eb="1">
      <t>カネ</t>
    </rPh>
    <phoneticPr fontId="1"/>
  </si>
  <si>
    <t>C</t>
    <phoneticPr fontId="1"/>
  </si>
  <si>
    <t>D1</t>
    <phoneticPr fontId="1"/>
  </si>
  <si>
    <t>D2</t>
    <phoneticPr fontId="1"/>
  </si>
  <si>
    <t>D3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</si>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</sst>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2" fillId="3" borderId="2" xfId="0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2" fillId="8" borderId="0" xfId="0" applyFont="1" applyFill="1"/>
    <xf numFmtId="176" fontId="2" fillId="0" borderId="0" xfId="0" applyNumberFormat="1" applyFont="1"/>
    <xf numFmtId="176" fontId="2" fillId="0" borderId="1" xfId="0" applyNumberFormat="1" applyFont="1" applyBorder="1"/>
    <xf numFmtId="176" fontId="2" fillId="9" borderId="1" xfId="0" applyNumberFormat="1" applyFont="1" applyFill="1" applyBorder="1"/>
    <xf numFmtId="176" fontId="2" fillId="10" borderId="1" xfId="0" applyNumberFormat="1" applyFont="1" applyFill="1" applyBorder="1"/>
    <xf numFmtId="176" fontId="2" fillId="10" borderId="0" xfId="0" applyNumberFormat="1" applyFont="1" applyFill="1"/>
    <xf numFmtId="176" fontId="2" fillId="0" borderId="3" xfId="0" applyNumberFormat="1" applyFont="1" applyBorder="1"/>
    <xf numFmtId="176" fontId="2" fillId="9" borderId="0" xfId="0" applyNumberFormat="1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49518810148728E-2"/>
          <c:y val="2.8252405949256341E-2"/>
          <c:w val="0.74501640419947501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D1</c:v>
                </c:pt>
              </c:strCache>
            </c:strRef>
          </c:tx>
          <c:marker>
            <c:symbol val="none"/>
          </c:marker>
          <c:val>
            <c:numRef>
              <c:f>Sheet1!$D$4:$D$64</c:f>
              <c:numCache>
                <c:formatCode>General</c:formatCode>
                <c:ptCount val="61"/>
                <c:pt idx="0">
                  <c:v>120</c:v>
                </c:pt>
                <c:pt idx="1">
                  <c:v>118</c:v>
                </c:pt>
                <c:pt idx="2">
                  <c:v>116</c:v>
                </c:pt>
                <c:pt idx="3">
                  <c:v>114</c:v>
                </c:pt>
                <c:pt idx="4">
                  <c:v>112</c:v>
                </c:pt>
                <c:pt idx="5">
                  <c:v>110</c:v>
                </c:pt>
                <c:pt idx="6">
                  <c:v>108</c:v>
                </c:pt>
                <c:pt idx="7">
                  <c:v>106</c:v>
                </c:pt>
                <c:pt idx="8">
                  <c:v>104</c:v>
                </c:pt>
                <c:pt idx="9">
                  <c:v>102</c:v>
                </c:pt>
                <c:pt idx="10">
                  <c:v>100</c:v>
                </c:pt>
                <c:pt idx="11">
                  <c:v>98</c:v>
                </c:pt>
                <c:pt idx="12">
                  <c:v>96</c:v>
                </c:pt>
                <c:pt idx="13">
                  <c:v>94</c:v>
                </c:pt>
                <c:pt idx="14">
                  <c:v>92</c:v>
                </c:pt>
                <c:pt idx="15">
                  <c:v>90</c:v>
                </c:pt>
                <c:pt idx="16">
                  <c:v>88</c:v>
                </c:pt>
                <c:pt idx="17">
                  <c:v>86</c:v>
                </c:pt>
                <c:pt idx="18">
                  <c:v>84</c:v>
                </c:pt>
                <c:pt idx="19">
                  <c:v>82</c:v>
                </c:pt>
                <c:pt idx="20">
                  <c:v>80</c:v>
                </c:pt>
                <c:pt idx="21">
                  <c:v>78</c:v>
                </c:pt>
                <c:pt idx="22">
                  <c:v>76</c:v>
                </c:pt>
                <c:pt idx="23">
                  <c:v>74</c:v>
                </c:pt>
                <c:pt idx="24">
                  <c:v>72</c:v>
                </c:pt>
                <c:pt idx="25">
                  <c:v>70</c:v>
                </c:pt>
                <c:pt idx="26">
                  <c:v>68</c:v>
                </c:pt>
                <c:pt idx="27">
                  <c:v>66</c:v>
                </c:pt>
                <c:pt idx="28">
                  <c:v>64</c:v>
                </c:pt>
                <c:pt idx="29">
                  <c:v>62</c:v>
                </c:pt>
                <c:pt idx="30">
                  <c:v>60</c:v>
                </c:pt>
                <c:pt idx="31">
                  <c:v>58</c:v>
                </c:pt>
                <c:pt idx="32">
                  <c:v>56</c:v>
                </c:pt>
                <c:pt idx="33">
                  <c:v>54</c:v>
                </c:pt>
                <c:pt idx="34">
                  <c:v>52</c:v>
                </c:pt>
                <c:pt idx="35">
                  <c:v>50</c:v>
                </c:pt>
                <c:pt idx="36">
                  <c:v>48</c:v>
                </c:pt>
                <c:pt idx="37">
                  <c:v>46</c:v>
                </c:pt>
                <c:pt idx="38">
                  <c:v>44</c:v>
                </c:pt>
                <c:pt idx="39">
                  <c:v>42</c:v>
                </c:pt>
                <c:pt idx="40">
                  <c:v>40</c:v>
                </c:pt>
                <c:pt idx="41">
                  <c:v>38</c:v>
                </c:pt>
                <c:pt idx="42">
                  <c:v>36</c:v>
                </c:pt>
                <c:pt idx="43">
                  <c:v>34</c:v>
                </c:pt>
                <c:pt idx="44">
                  <c:v>32</c:v>
                </c:pt>
                <c:pt idx="45">
                  <c:v>30</c:v>
                </c:pt>
                <c:pt idx="46">
                  <c:v>28</c:v>
                </c:pt>
                <c:pt idx="47">
                  <c:v>26</c:v>
                </c:pt>
                <c:pt idx="48">
                  <c:v>24</c:v>
                </c:pt>
                <c:pt idx="49">
                  <c:v>22</c:v>
                </c:pt>
                <c:pt idx="50">
                  <c:v>20</c:v>
                </c:pt>
                <c:pt idx="51">
                  <c:v>18</c:v>
                </c:pt>
                <c:pt idx="52">
                  <c:v>16</c:v>
                </c:pt>
                <c:pt idx="53">
                  <c:v>14</c:v>
                </c:pt>
                <c:pt idx="54">
                  <c:v>12</c:v>
                </c:pt>
                <c:pt idx="55">
                  <c:v>10</c:v>
                </c:pt>
                <c:pt idx="56">
                  <c:v>8</c:v>
                </c:pt>
                <c:pt idx="57">
                  <c:v>6</c:v>
                </c:pt>
                <c:pt idx="58">
                  <c:v>4</c:v>
                </c:pt>
                <c:pt idx="59">
                  <c:v>2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3-4F4D-9E48-0C81087F6731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D2</c:v>
                </c:pt>
              </c:strCache>
            </c:strRef>
          </c:tx>
          <c:marker>
            <c:symbol val="none"/>
          </c:marker>
          <c:val>
            <c:numRef>
              <c:f>Sheet1!$E$4:$E$64</c:f>
              <c:numCache>
                <c:formatCode>General</c:formatCode>
                <c:ptCount val="61"/>
                <c:pt idx="0">
                  <c:v>80</c:v>
                </c:pt>
                <c:pt idx="1">
                  <c:v>79.5</c:v>
                </c:pt>
                <c:pt idx="2">
                  <c:v>79</c:v>
                </c:pt>
                <c:pt idx="3">
                  <c:v>78.5</c:v>
                </c:pt>
                <c:pt idx="4">
                  <c:v>78</c:v>
                </c:pt>
                <c:pt idx="5">
                  <c:v>77.5</c:v>
                </c:pt>
                <c:pt idx="6">
                  <c:v>77</c:v>
                </c:pt>
                <c:pt idx="7">
                  <c:v>76.5</c:v>
                </c:pt>
                <c:pt idx="8">
                  <c:v>76</c:v>
                </c:pt>
                <c:pt idx="9">
                  <c:v>75.5</c:v>
                </c:pt>
                <c:pt idx="10">
                  <c:v>75</c:v>
                </c:pt>
                <c:pt idx="11">
                  <c:v>74.5</c:v>
                </c:pt>
                <c:pt idx="12">
                  <c:v>74</c:v>
                </c:pt>
                <c:pt idx="13">
                  <c:v>73.5</c:v>
                </c:pt>
                <c:pt idx="14">
                  <c:v>73</c:v>
                </c:pt>
                <c:pt idx="15">
                  <c:v>72.5</c:v>
                </c:pt>
                <c:pt idx="16">
                  <c:v>72</c:v>
                </c:pt>
                <c:pt idx="17">
                  <c:v>71.5</c:v>
                </c:pt>
                <c:pt idx="18">
                  <c:v>71</c:v>
                </c:pt>
                <c:pt idx="19">
                  <c:v>70.5</c:v>
                </c:pt>
                <c:pt idx="20">
                  <c:v>70</c:v>
                </c:pt>
                <c:pt idx="21">
                  <c:v>69.5</c:v>
                </c:pt>
                <c:pt idx="22">
                  <c:v>69</c:v>
                </c:pt>
                <c:pt idx="23">
                  <c:v>68.5</c:v>
                </c:pt>
                <c:pt idx="24">
                  <c:v>68</c:v>
                </c:pt>
                <c:pt idx="25">
                  <c:v>67.5</c:v>
                </c:pt>
                <c:pt idx="26">
                  <c:v>67</c:v>
                </c:pt>
                <c:pt idx="27">
                  <c:v>66.5</c:v>
                </c:pt>
                <c:pt idx="28">
                  <c:v>66</c:v>
                </c:pt>
                <c:pt idx="29">
                  <c:v>65.5</c:v>
                </c:pt>
                <c:pt idx="30">
                  <c:v>65</c:v>
                </c:pt>
                <c:pt idx="31">
                  <c:v>64.5</c:v>
                </c:pt>
                <c:pt idx="32">
                  <c:v>64</c:v>
                </c:pt>
                <c:pt idx="33">
                  <c:v>63.5</c:v>
                </c:pt>
                <c:pt idx="34">
                  <c:v>63</c:v>
                </c:pt>
                <c:pt idx="35">
                  <c:v>62.5</c:v>
                </c:pt>
                <c:pt idx="36">
                  <c:v>62</c:v>
                </c:pt>
                <c:pt idx="37">
                  <c:v>61.5</c:v>
                </c:pt>
                <c:pt idx="38">
                  <c:v>61</c:v>
                </c:pt>
                <c:pt idx="39">
                  <c:v>60.5</c:v>
                </c:pt>
                <c:pt idx="40">
                  <c:v>60</c:v>
                </c:pt>
                <c:pt idx="41">
                  <c:v>59.5</c:v>
                </c:pt>
                <c:pt idx="42">
                  <c:v>59</c:v>
                </c:pt>
                <c:pt idx="43">
                  <c:v>58.5</c:v>
                </c:pt>
                <c:pt idx="44">
                  <c:v>58</c:v>
                </c:pt>
                <c:pt idx="45">
                  <c:v>57.5</c:v>
                </c:pt>
                <c:pt idx="46">
                  <c:v>57</c:v>
                </c:pt>
                <c:pt idx="47">
                  <c:v>56.5</c:v>
                </c:pt>
                <c:pt idx="48">
                  <c:v>56</c:v>
                </c:pt>
                <c:pt idx="49">
                  <c:v>55.5</c:v>
                </c:pt>
                <c:pt idx="50">
                  <c:v>55</c:v>
                </c:pt>
                <c:pt idx="51">
                  <c:v>54.5</c:v>
                </c:pt>
                <c:pt idx="52">
                  <c:v>54</c:v>
                </c:pt>
                <c:pt idx="53">
                  <c:v>53.5</c:v>
                </c:pt>
                <c:pt idx="54">
                  <c:v>53</c:v>
                </c:pt>
                <c:pt idx="55">
                  <c:v>52.5</c:v>
                </c:pt>
                <c:pt idx="56">
                  <c:v>52</c:v>
                </c:pt>
                <c:pt idx="57">
                  <c:v>51.5</c:v>
                </c:pt>
                <c:pt idx="58">
                  <c:v>51</c:v>
                </c:pt>
                <c:pt idx="59">
                  <c:v>50.5</c:v>
                </c:pt>
                <c:pt idx="6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3-4F4D-9E48-0C81087F6731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D3</c:v>
                </c:pt>
              </c:strCache>
            </c:strRef>
          </c:tx>
          <c:marker>
            <c:symbol val="none"/>
          </c:marker>
          <c:val>
            <c:numRef>
              <c:f>Sheet1!$F$4:$F$64</c:f>
              <c:numCache>
                <c:formatCode>General</c:formatCode>
                <c:ptCount val="61"/>
                <c:pt idx="0">
                  <c:v>60</c:v>
                </c:pt>
                <c:pt idx="1">
                  <c:v>59.333333333333336</c:v>
                </c:pt>
                <c:pt idx="2">
                  <c:v>58.666666666666664</c:v>
                </c:pt>
                <c:pt idx="3">
                  <c:v>58</c:v>
                </c:pt>
                <c:pt idx="4">
                  <c:v>57.333333333333336</c:v>
                </c:pt>
                <c:pt idx="5">
                  <c:v>56.666666666666664</c:v>
                </c:pt>
                <c:pt idx="6">
                  <c:v>56</c:v>
                </c:pt>
                <c:pt idx="7">
                  <c:v>55.333333333333336</c:v>
                </c:pt>
                <c:pt idx="8">
                  <c:v>54.666666666666664</c:v>
                </c:pt>
                <c:pt idx="9">
                  <c:v>54</c:v>
                </c:pt>
                <c:pt idx="10">
                  <c:v>53.333333333333336</c:v>
                </c:pt>
                <c:pt idx="11">
                  <c:v>52.666666666666664</c:v>
                </c:pt>
                <c:pt idx="12">
                  <c:v>52</c:v>
                </c:pt>
                <c:pt idx="13">
                  <c:v>51.333333333333336</c:v>
                </c:pt>
                <c:pt idx="14">
                  <c:v>50.666666666666671</c:v>
                </c:pt>
                <c:pt idx="15">
                  <c:v>50</c:v>
                </c:pt>
                <c:pt idx="16">
                  <c:v>49.333333333333336</c:v>
                </c:pt>
                <c:pt idx="17">
                  <c:v>48.666666666666671</c:v>
                </c:pt>
                <c:pt idx="18">
                  <c:v>48</c:v>
                </c:pt>
                <c:pt idx="19">
                  <c:v>47.333333333333336</c:v>
                </c:pt>
                <c:pt idx="20">
                  <c:v>46.666666666666671</c:v>
                </c:pt>
                <c:pt idx="21">
                  <c:v>46</c:v>
                </c:pt>
                <c:pt idx="22">
                  <c:v>45.333333333333336</c:v>
                </c:pt>
                <c:pt idx="23">
                  <c:v>44.666666666666671</c:v>
                </c:pt>
                <c:pt idx="24">
                  <c:v>44</c:v>
                </c:pt>
                <c:pt idx="25">
                  <c:v>43.333333333333336</c:v>
                </c:pt>
                <c:pt idx="26">
                  <c:v>42.666666666666671</c:v>
                </c:pt>
                <c:pt idx="27">
                  <c:v>42</c:v>
                </c:pt>
                <c:pt idx="28">
                  <c:v>41.333333333333336</c:v>
                </c:pt>
                <c:pt idx="29">
                  <c:v>40.666666666666671</c:v>
                </c:pt>
                <c:pt idx="30">
                  <c:v>40</c:v>
                </c:pt>
                <c:pt idx="31">
                  <c:v>39.333333333333336</c:v>
                </c:pt>
                <c:pt idx="32">
                  <c:v>38.666666666666671</c:v>
                </c:pt>
                <c:pt idx="33">
                  <c:v>38</c:v>
                </c:pt>
                <c:pt idx="34">
                  <c:v>37.333333333333336</c:v>
                </c:pt>
                <c:pt idx="35">
                  <c:v>36.666666666666671</c:v>
                </c:pt>
                <c:pt idx="36">
                  <c:v>36</c:v>
                </c:pt>
                <c:pt idx="37">
                  <c:v>35.333333333333336</c:v>
                </c:pt>
                <c:pt idx="38">
                  <c:v>34.666666666666671</c:v>
                </c:pt>
                <c:pt idx="39">
                  <c:v>34</c:v>
                </c:pt>
                <c:pt idx="40">
                  <c:v>33.333333333333336</c:v>
                </c:pt>
                <c:pt idx="41">
                  <c:v>32.666666666666671</c:v>
                </c:pt>
                <c:pt idx="42">
                  <c:v>32</c:v>
                </c:pt>
                <c:pt idx="43">
                  <c:v>31.333333333333336</c:v>
                </c:pt>
                <c:pt idx="44">
                  <c:v>30.666666666666668</c:v>
                </c:pt>
                <c:pt idx="45">
                  <c:v>30</c:v>
                </c:pt>
                <c:pt idx="46">
                  <c:v>29.333333333333336</c:v>
                </c:pt>
                <c:pt idx="47">
                  <c:v>28.666666666666668</c:v>
                </c:pt>
                <c:pt idx="48">
                  <c:v>28</c:v>
                </c:pt>
                <c:pt idx="49">
                  <c:v>27.333333333333336</c:v>
                </c:pt>
                <c:pt idx="50">
                  <c:v>26.666666666666671</c:v>
                </c:pt>
                <c:pt idx="51">
                  <c:v>26</c:v>
                </c:pt>
                <c:pt idx="52">
                  <c:v>25.333333333333336</c:v>
                </c:pt>
                <c:pt idx="53">
                  <c:v>24.666666666666671</c:v>
                </c:pt>
                <c:pt idx="54">
                  <c:v>24</c:v>
                </c:pt>
                <c:pt idx="55">
                  <c:v>23.333333333333336</c:v>
                </c:pt>
                <c:pt idx="56">
                  <c:v>22.666666666666671</c:v>
                </c:pt>
                <c:pt idx="57">
                  <c:v>22</c:v>
                </c:pt>
                <c:pt idx="58">
                  <c:v>21.333333333333336</c:v>
                </c:pt>
                <c:pt idx="59">
                  <c:v>20.666666666666671</c:v>
                </c:pt>
                <c:pt idx="6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93-4F4D-9E48-0C81087F6731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D</c:v>
                </c:pt>
              </c:strCache>
            </c:strRef>
          </c:tx>
          <c:marker>
            <c:symbol val="none"/>
          </c:marker>
          <c:val>
            <c:numRef>
              <c:f>Sheet1!$G$4:$G$64</c:f>
              <c:numCache>
                <c:formatCode>General</c:formatCode>
                <c:ptCount val="61"/>
                <c:pt idx="0">
                  <c:v>90</c:v>
                </c:pt>
                <c:pt idx="1">
                  <c:v>88.666666666666671</c:v>
                </c:pt>
                <c:pt idx="2">
                  <c:v>87.333333333333329</c:v>
                </c:pt>
                <c:pt idx="3">
                  <c:v>86</c:v>
                </c:pt>
                <c:pt idx="4">
                  <c:v>84.666666666666671</c:v>
                </c:pt>
                <c:pt idx="5">
                  <c:v>83.333333333333329</c:v>
                </c:pt>
                <c:pt idx="6">
                  <c:v>82</c:v>
                </c:pt>
                <c:pt idx="7">
                  <c:v>80.666666666666671</c:v>
                </c:pt>
                <c:pt idx="8">
                  <c:v>79.333333333333329</c:v>
                </c:pt>
                <c:pt idx="9">
                  <c:v>78</c:v>
                </c:pt>
                <c:pt idx="10">
                  <c:v>76.666666666666671</c:v>
                </c:pt>
                <c:pt idx="11">
                  <c:v>75.333333333333329</c:v>
                </c:pt>
                <c:pt idx="12">
                  <c:v>74</c:v>
                </c:pt>
                <c:pt idx="13">
                  <c:v>72.666666666666671</c:v>
                </c:pt>
                <c:pt idx="14">
                  <c:v>71.333333333333343</c:v>
                </c:pt>
                <c:pt idx="15">
                  <c:v>70</c:v>
                </c:pt>
                <c:pt idx="16">
                  <c:v>68.666666666666671</c:v>
                </c:pt>
                <c:pt idx="17">
                  <c:v>67.333333333333343</c:v>
                </c:pt>
                <c:pt idx="18">
                  <c:v>66</c:v>
                </c:pt>
                <c:pt idx="19">
                  <c:v>64.666666666666671</c:v>
                </c:pt>
                <c:pt idx="20">
                  <c:v>63.333333333333336</c:v>
                </c:pt>
                <c:pt idx="21">
                  <c:v>62</c:v>
                </c:pt>
                <c:pt idx="22">
                  <c:v>60.666666666666671</c:v>
                </c:pt>
                <c:pt idx="23">
                  <c:v>59.333333333333336</c:v>
                </c:pt>
                <c:pt idx="24">
                  <c:v>58</c:v>
                </c:pt>
                <c:pt idx="25">
                  <c:v>56.666666666666671</c:v>
                </c:pt>
                <c:pt idx="26">
                  <c:v>55.333333333333336</c:v>
                </c:pt>
                <c:pt idx="27">
                  <c:v>54</c:v>
                </c:pt>
                <c:pt idx="28">
                  <c:v>52.666666666666671</c:v>
                </c:pt>
                <c:pt idx="29">
                  <c:v>51.333333333333336</c:v>
                </c:pt>
                <c:pt idx="30">
                  <c:v>50</c:v>
                </c:pt>
                <c:pt idx="31">
                  <c:v>48.666666666666671</c:v>
                </c:pt>
                <c:pt idx="32">
                  <c:v>47.333333333333336</c:v>
                </c:pt>
                <c:pt idx="33">
                  <c:v>46</c:v>
                </c:pt>
                <c:pt idx="34">
                  <c:v>44.666666666666671</c:v>
                </c:pt>
                <c:pt idx="35">
                  <c:v>43.333333333333336</c:v>
                </c:pt>
                <c:pt idx="36">
                  <c:v>42</c:v>
                </c:pt>
                <c:pt idx="37">
                  <c:v>40.666666666666671</c:v>
                </c:pt>
                <c:pt idx="38">
                  <c:v>39.333333333333336</c:v>
                </c:pt>
                <c:pt idx="39">
                  <c:v>38</c:v>
                </c:pt>
                <c:pt idx="40">
                  <c:v>36.666666666666671</c:v>
                </c:pt>
                <c:pt idx="41">
                  <c:v>35.333333333333336</c:v>
                </c:pt>
                <c:pt idx="42">
                  <c:v>34</c:v>
                </c:pt>
                <c:pt idx="43">
                  <c:v>32.666666666666671</c:v>
                </c:pt>
                <c:pt idx="44">
                  <c:v>31.333333333333336</c:v>
                </c:pt>
                <c:pt idx="45">
                  <c:v>30</c:v>
                </c:pt>
                <c:pt idx="46">
                  <c:v>28.666666666666671</c:v>
                </c:pt>
                <c:pt idx="47">
                  <c:v>27.333333333333336</c:v>
                </c:pt>
                <c:pt idx="48">
                  <c:v>26</c:v>
                </c:pt>
                <c:pt idx="49">
                  <c:v>24.666666666666671</c:v>
                </c:pt>
                <c:pt idx="50">
                  <c:v>23.333333333333343</c:v>
                </c:pt>
                <c:pt idx="51">
                  <c:v>22</c:v>
                </c:pt>
                <c:pt idx="52">
                  <c:v>20.666666666666671</c:v>
                </c:pt>
                <c:pt idx="53">
                  <c:v>19.333333333333343</c:v>
                </c:pt>
                <c:pt idx="54">
                  <c:v>18</c:v>
                </c:pt>
                <c:pt idx="55">
                  <c:v>16.666666666666671</c:v>
                </c:pt>
                <c:pt idx="56">
                  <c:v>15.333333333333343</c:v>
                </c:pt>
                <c:pt idx="57">
                  <c:v>14</c:v>
                </c:pt>
                <c:pt idx="58">
                  <c:v>12.666666666666671</c:v>
                </c:pt>
                <c:pt idx="59">
                  <c:v>11.333333333333343</c:v>
                </c:pt>
                <c:pt idx="6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93-4F4D-9E48-0C81087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260336"/>
        <c:axId val="1"/>
      </c:lineChart>
      <c:catAx>
        <c:axId val="37026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026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931556649389695"/>
          <c:y val="0.33054360476054728"/>
          <c:w val="0.12758397057114626"/>
          <c:h val="0.3333448217500434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emf"/><Relationship Id="rId7" Type="http://schemas.openxmlformats.org/officeDocument/2006/relationships/image" Target="../media/image18.emf"/><Relationship Id="rId12" Type="http://schemas.openxmlformats.org/officeDocument/2006/relationships/image" Target="../media/image23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6" Type="http://schemas.openxmlformats.org/officeDocument/2006/relationships/image" Target="../media/image17.emf"/><Relationship Id="rId11" Type="http://schemas.openxmlformats.org/officeDocument/2006/relationships/image" Target="../media/image22.emf"/><Relationship Id="rId5" Type="http://schemas.openxmlformats.org/officeDocument/2006/relationships/image" Target="../media/image16.emf"/><Relationship Id="rId10" Type="http://schemas.openxmlformats.org/officeDocument/2006/relationships/image" Target="../media/image21.emf"/><Relationship Id="rId4" Type="http://schemas.openxmlformats.org/officeDocument/2006/relationships/image" Target="../media/image15.emf"/><Relationship Id="rId9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825500</xdr:colOff>
          <xdr:row>11</xdr:row>
          <xdr:rowOff>139700</xdr:rowOff>
        </xdr:from>
        <xdr:to>
          <xdr:col>4</xdr:col>
          <xdr:colOff>234950</xdr:colOff>
          <xdr:row>17</xdr:row>
          <xdr:rowOff>82550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88900</xdr:rowOff>
        </xdr:from>
        <xdr:to>
          <xdr:col>5</xdr:col>
          <xdr:colOff>419100</xdr:colOff>
          <xdr:row>21</xdr:row>
          <xdr:rowOff>88900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12</xdr:row>
          <xdr:rowOff>12700</xdr:rowOff>
        </xdr:from>
        <xdr:to>
          <xdr:col>6</xdr:col>
          <xdr:colOff>596900</xdr:colOff>
          <xdr:row>15</xdr:row>
          <xdr:rowOff>120650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21</xdr:row>
          <xdr:rowOff>158750</xdr:rowOff>
        </xdr:from>
        <xdr:to>
          <xdr:col>7</xdr:col>
          <xdr:colOff>419100</xdr:colOff>
          <xdr:row>24</xdr:row>
          <xdr:rowOff>12700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24</xdr:row>
          <xdr:rowOff>44450</xdr:rowOff>
        </xdr:from>
        <xdr:to>
          <xdr:col>7</xdr:col>
          <xdr:colOff>393700</xdr:colOff>
          <xdr:row>26</xdr:row>
          <xdr:rowOff>69850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26</xdr:row>
          <xdr:rowOff>101600</xdr:rowOff>
        </xdr:from>
        <xdr:to>
          <xdr:col>4</xdr:col>
          <xdr:colOff>0</xdr:colOff>
          <xdr:row>28</xdr:row>
          <xdr:rowOff>114300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28</xdr:row>
          <xdr:rowOff>120650</xdr:rowOff>
        </xdr:from>
        <xdr:to>
          <xdr:col>7</xdr:col>
          <xdr:colOff>381000</xdr:colOff>
          <xdr:row>32</xdr:row>
          <xdr:rowOff>44450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539750</xdr:colOff>
          <xdr:row>32</xdr:row>
          <xdr:rowOff>38100</xdr:rowOff>
        </xdr:from>
        <xdr:to>
          <xdr:col>7</xdr:col>
          <xdr:colOff>425450</xdr:colOff>
          <xdr:row>35</xdr:row>
          <xdr:rowOff>127000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39</xdr:row>
          <xdr:rowOff>12700</xdr:rowOff>
        </xdr:from>
        <xdr:to>
          <xdr:col>6</xdr:col>
          <xdr:colOff>577850</xdr:colOff>
          <xdr:row>41</xdr:row>
          <xdr:rowOff>69850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41</xdr:row>
          <xdr:rowOff>82550</xdr:rowOff>
        </xdr:from>
        <xdr:to>
          <xdr:col>6</xdr:col>
          <xdr:colOff>0</xdr:colOff>
          <xdr:row>43</xdr:row>
          <xdr:rowOff>114300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43</xdr:row>
          <xdr:rowOff>69850</xdr:rowOff>
        </xdr:from>
        <xdr:to>
          <xdr:col>3</xdr:col>
          <xdr:colOff>673100</xdr:colOff>
          <xdr:row>45</xdr:row>
          <xdr:rowOff>101600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711200</xdr:colOff>
          <xdr:row>18</xdr:row>
          <xdr:rowOff>82550</xdr:rowOff>
        </xdr:from>
        <xdr:to>
          <xdr:col>5</xdr:col>
          <xdr:colOff>177800</xdr:colOff>
          <xdr:row>20</xdr:row>
          <xdr:rowOff>88900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28</xdr:row>
          <xdr:rowOff>88900</xdr:rowOff>
        </xdr:from>
        <xdr:to>
          <xdr:col>4</xdr:col>
          <xdr:colOff>787400</xdr:colOff>
          <xdr:row>30</xdr:row>
          <xdr:rowOff>50800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40</xdr:row>
          <xdr:rowOff>12700</xdr:rowOff>
        </xdr:from>
        <xdr:to>
          <xdr:col>5</xdr:col>
          <xdr:colOff>463550</xdr:colOff>
          <xdr:row>42</xdr:row>
          <xdr:rowOff>76200</xdr:rowOff>
        </xdr:to>
        <xdr:sp macro="" textlink="">
          <xdr:nvSpPr>
            <xdr:cNvPr id="2068" name="Object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42</xdr:row>
          <xdr:rowOff>82550</xdr:rowOff>
        </xdr:from>
        <xdr:to>
          <xdr:col>4</xdr:col>
          <xdr:colOff>685800</xdr:colOff>
          <xdr:row>44</xdr:row>
          <xdr:rowOff>114300</xdr:rowOff>
        </xdr:to>
        <xdr:sp macro="" textlink="">
          <xdr:nvSpPr>
            <xdr:cNvPr id="2069" name="Object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330200</xdr:colOff>
          <xdr:row>44</xdr:row>
          <xdr:rowOff>50800</xdr:rowOff>
        </xdr:from>
        <xdr:to>
          <xdr:col>3</xdr:col>
          <xdr:colOff>457200</xdr:colOff>
          <xdr:row>46</xdr:row>
          <xdr:rowOff>82550</xdr:rowOff>
        </xdr:to>
        <xdr:sp macro="" textlink="">
          <xdr:nvSpPr>
            <xdr:cNvPr id="2070" name="Object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698500</xdr:colOff>
          <xdr:row>10</xdr:row>
          <xdr:rowOff>139700</xdr:rowOff>
        </xdr:from>
        <xdr:to>
          <xdr:col>4</xdr:col>
          <xdr:colOff>139700</xdr:colOff>
          <xdr:row>15</xdr:row>
          <xdr:rowOff>0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730250</xdr:colOff>
          <xdr:row>10</xdr:row>
          <xdr:rowOff>114300</xdr:rowOff>
        </xdr:from>
        <xdr:to>
          <xdr:col>8</xdr:col>
          <xdr:colOff>146050</xdr:colOff>
          <xdr:row>16</xdr:row>
          <xdr:rowOff>101600</xdr:rowOff>
        </xdr:to>
        <xdr:sp macro="" textlink="">
          <xdr:nvSpPr>
            <xdr:cNvPr id="2073" name="Object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38100</xdr:rowOff>
        </xdr:from>
        <xdr:to>
          <xdr:col>6</xdr:col>
          <xdr:colOff>152400</xdr:colOff>
          <xdr:row>23</xdr:row>
          <xdr:rowOff>6350</xdr:rowOff>
        </xdr:to>
        <xdr:sp macro="" textlink="">
          <xdr:nvSpPr>
            <xdr:cNvPr id="2074" name="Object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69850</xdr:rowOff>
        </xdr:from>
        <xdr:to>
          <xdr:col>6</xdr:col>
          <xdr:colOff>196850</xdr:colOff>
          <xdr:row>25</xdr:row>
          <xdr:rowOff>69850</xdr:rowOff>
        </xdr:to>
        <xdr:sp macro="" textlink="">
          <xdr:nvSpPr>
            <xdr:cNvPr id="2075" name="Object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711200</xdr:colOff>
          <xdr:row>26</xdr:row>
          <xdr:rowOff>12700</xdr:rowOff>
        </xdr:from>
        <xdr:to>
          <xdr:col>6</xdr:col>
          <xdr:colOff>292100</xdr:colOff>
          <xdr:row>28</xdr:row>
          <xdr:rowOff>6350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831850</xdr:colOff>
          <xdr:row>31</xdr:row>
          <xdr:rowOff>139700</xdr:rowOff>
        </xdr:from>
        <xdr:to>
          <xdr:col>7</xdr:col>
          <xdr:colOff>139700</xdr:colOff>
          <xdr:row>34</xdr:row>
          <xdr:rowOff>44450</xdr:rowOff>
        </xdr:to>
        <xdr:sp macro="" textlink="">
          <xdr:nvSpPr>
            <xdr:cNvPr id="2077" name="Object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863600</xdr:colOff>
          <xdr:row>34</xdr:row>
          <xdr:rowOff>88900</xdr:rowOff>
        </xdr:from>
        <xdr:to>
          <xdr:col>6</xdr:col>
          <xdr:colOff>717550</xdr:colOff>
          <xdr:row>37</xdr:row>
          <xdr:rowOff>12700</xdr:rowOff>
        </xdr:to>
        <xdr:sp macro="" textlink="">
          <xdr:nvSpPr>
            <xdr:cNvPr id="2078" name="Object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5</xdr:row>
      <xdr:rowOff>129540</xdr:rowOff>
    </xdr:from>
    <xdr:to>
      <xdr:col>7</xdr:col>
      <xdr:colOff>121920</xdr:colOff>
      <xdr:row>22</xdr:row>
      <xdr:rowOff>0</xdr:rowOff>
    </xdr:to>
    <xdr:graphicFrame macro="">
      <xdr:nvGraphicFramePr>
        <xdr:cNvPr id="5123" name="グラフ 4">
          <a:extLst>
            <a:ext uri="{FF2B5EF4-FFF2-40B4-BE49-F238E27FC236}">
              <a16:creationId xmlns:a16="http://schemas.microsoft.com/office/drawing/2014/main" id="{045DEEDF-BE05-1349-3B98-68DD0201D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4.bin"/><Relationship Id="rId13" Type="http://schemas.openxmlformats.org/officeDocument/2006/relationships/image" Target="../media/image16.emf"/><Relationship Id="rId18" Type="http://schemas.openxmlformats.org/officeDocument/2006/relationships/oleObject" Target="../embeddings/oleObject19.bin"/><Relationship Id="rId26" Type="http://schemas.openxmlformats.org/officeDocument/2006/relationships/oleObject" Target="../embeddings/oleObject23.bin"/><Relationship Id="rId3" Type="http://schemas.openxmlformats.org/officeDocument/2006/relationships/vmlDrawing" Target="../drawings/vmlDrawing2.vml"/><Relationship Id="rId21" Type="http://schemas.openxmlformats.org/officeDocument/2006/relationships/image" Target="../media/image20.emf"/><Relationship Id="rId7" Type="http://schemas.openxmlformats.org/officeDocument/2006/relationships/image" Target="../media/image13.emf"/><Relationship Id="rId12" Type="http://schemas.openxmlformats.org/officeDocument/2006/relationships/oleObject" Target="../embeddings/oleObject16.bin"/><Relationship Id="rId17" Type="http://schemas.openxmlformats.org/officeDocument/2006/relationships/image" Target="../media/image18.emf"/><Relationship Id="rId25" Type="http://schemas.openxmlformats.org/officeDocument/2006/relationships/image" Target="../media/image22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8.bin"/><Relationship Id="rId20" Type="http://schemas.openxmlformats.org/officeDocument/2006/relationships/oleObject" Target="../embeddings/oleObject20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3.bin"/><Relationship Id="rId11" Type="http://schemas.openxmlformats.org/officeDocument/2006/relationships/image" Target="../media/image15.emf"/><Relationship Id="rId24" Type="http://schemas.openxmlformats.org/officeDocument/2006/relationships/oleObject" Target="../embeddings/oleObject22.bin"/><Relationship Id="rId5" Type="http://schemas.openxmlformats.org/officeDocument/2006/relationships/image" Target="../media/image12.emf"/><Relationship Id="rId15" Type="http://schemas.openxmlformats.org/officeDocument/2006/relationships/image" Target="../media/image17.emf"/><Relationship Id="rId23" Type="http://schemas.openxmlformats.org/officeDocument/2006/relationships/image" Target="../media/image21.emf"/><Relationship Id="rId10" Type="http://schemas.openxmlformats.org/officeDocument/2006/relationships/oleObject" Target="../embeddings/oleObject15.bin"/><Relationship Id="rId19" Type="http://schemas.openxmlformats.org/officeDocument/2006/relationships/image" Target="../media/image19.emf"/><Relationship Id="rId4" Type="http://schemas.openxmlformats.org/officeDocument/2006/relationships/oleObject" Target="../embeddings/oleObject12.bin"/><Relationship Id="rId9" Type="http://schemas.openxmlformats.org/officeDocument/2006/relationships/image" Target="../media/image14.emf"/><Relationship Id="rId14" Type="http://schemas.openxmlformats.org/officeDocument/2006/relationships/oleObject" Target="../embeddings/oleObject17.bin"/><Relationship Id="rId22" Type="http://schemas.openxmlformats.org/officeDocument/2006/relationships/oleObject" Target="../embeddings/oleObject21.bin"/><Relationship Id="rId27" Type="http://schemas.openxmlformats.org/officeDocument/2006/relationships/image" Target="../media/image23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34C2-43D5-4A82-B70A-48A3056E5282}">
  <dimension ref="A1:H21"/>
  <sheetViews>
    <sheetView tabSelected="1" topLeftCell="A12" zoomScale="129" zoomScaleNormal="129" workbookViewId="0">
      <selection activeCell="H15" sqref="H15"/>
    </sheetView>
  </sheetViews>
  <sheetFormatPr defaultRowHeight="13" x14ac:dyDescent="0.2"/>
  <cols>
    <col min="1" max="1" width="13.36328125" customWidth="1"/>
    <col min="2" max="2" width="10.36328125" customWidth="1"/>
    <col min="3" max="3" width="11.36328125" customWidth="1"/>
    <col min="4" max="4" width="12.7265625" customWidth="1"/>
    <col min="5" max="5" width="12.90625" customWidth="1"/>
    <col min="6" max="6" width="10.08984375" customWidth="1"/>
    <col min="7" max="7" width="10" customWidth="1"/>
    <col min="8" max="8" width="10.08984375" customWidth="1"/>
  </cols>
  <sheetData>
    <row r="1" spans="1:8" ht="16.5" x14ac:dyDescent="0.25">
      <c r="A1" s="1" t="s">
        <v>0</v>
      </c>
      <c r="B1" s="2"/>
      <c r="C1" s="3" t="s">
        <v>1</v>
      </c>
      <c r="D1" s="2" t="s">
        <v>2</v>
      </c>
      <c r="E1" s="2" t="s">
        <v>3</v>
      </c>
      <c r="F1" s="7" t="s">
        <v>4</v>
      </c>
    </row>
    <row r="2" spans="1:8" ht="16.5" x14ac:dyDescent="0.25">
      <c r="B2" s="3" t="s">
        <v>5</v>
      </c>
      <c r="C2" s="3">
        <v>120</v>
      </c>
      <c r="D2" s="3">
        <v>2</v>
      </c>
      <c r="E2" s="3">
        <v>1</v>
      </c>
      <c r="F2" s="11">
        <v>9</v>
      </c>
    </row>
    <row r="3" spans="1:8" ht="16.5" x14ac:dyDescent="0.25">
      <c r="B3" s="3" t="s">
        <v>6</v>
      </c>
      <c r="C3" s="3">
        <v>160</v>
      </c>
      <c r="D3" s="3">
        <v>1</v>
      </c>
      <c r="E3" s="3">
        <v>2</v>
      </c>
      <c r="F3" s="11">
        <v>0</v>
      </c>
    </row>
    <row r="4" spans="1:8" ht="16.5" x14ac:dyDescent="0.25">
      <c r="B4" s="3" t="s">
        <v>7</v>
      </c>
      <c r="C4" s="3">
        <v>180</v>
      </c>
      <c r="D4" s="3">
        <v>2</v>
      </c>
      <c r="E4" s="3">
        <v>3</v>
      </c>
      <c r="F4" s="11">
        <v>3</v>
      </c>
    </row>
    <row r="5" spans="1:8" ht="16.5" x14ac:dyDescent="0.25">
      <c r="B5" s="5" t="s">
        <v>8</v>
      </c>
      <c r="C5" s="5">
        <f>C2*F2+C3*F3+C4*F4</f>
        <v>1620</v>
      </c>
      <c r="D5" s="1"/>
      <c r="E5" s="1"/>
    </row>
    <row r="6" spans="1:8" ht="16.5" x14ac:dyDescent="0.25">
      <c r="B6" s="6" t="s">
        <v>9</v>
      </c>
      <c r="C6" s="1"/>
      <c r="D6" s="6">
        <f>SUMPRODUCT(D2:D4,F2:F4)</f>
        <v>24</v>
      </c>
      <c r="E6" s="6">
        <f>SUMPRODUCT(E2:E4,F2:F4)</f>
        <v>18</v>
      </c>
    </row>
    <row r="7" spans="1:8" ht="16.5" x14ac:dyDescent="0.25">
      <c r="B7" s="4" t="s">
        <v>10</v>
      </c>
      <c r="C7" s="1"/>
      <c r="D7" s="4">
        <v>24</v>
      </c>
      <c r="E7" s="4">
        <v>18</v>
      </c>
    </row>
    <row r="8" spans="1:8" ht="16.5" x14ac:dyDescent="0.25">
      <c r="C8" s="1"/>
      <c r="D8" s="1"/>
    </row>
    <row r="9" spans="1:8" ht="16.5" x14ac:dyDescent="0.25">
      <c r="B9" s="12" t="s">
        <v>11</v>
      </c>
      <c r="C9" s="12"/>
      <c r="D9" s="12"/>
      <c r="E9" s="1" t="s">
        <v>12</v>
      </c>
      <c r="F9" s="6" t="s">
        <v>9</v>
      </c>
      <c r="G9" s="1" t="s">
        <v>13</v>
      </c>
      <c r="H9" s="4" t="s">
        <v>10</v>
      </c>
    </row>
    <row r="10" spans="1:8" ht="16.5" x14ac:dyDescent="0.25">
      <c r="C10" s="1"/>
      <c r="D10" s="1"/>
    </row>
    <row r="11" spans="1:8" ht="16.5" x14ac:dyDescent="0.25">
      <c r="C11" s="1"/>
      <c r="D11" s="1"/>
      <c r="E11" t="s">
        <v>14</v>
      </c>
    </row>
    <row r="12" spans="1:8" ht="16.5" x14ac:dyDescent="0.25">
      <c r="C12" s="1"/>
      <c r="D12" s="1"/>
    </row>
    <row r="13" spans="1:8" ht="16.5" x14ac:dyDescent="0.25">
      <c r="C13" s="1"/>
      <c r="D13" s="1"/>
      <c r="E13" s="1"/>
    </row>
    <row r="14" spans="1:8" ht="16.5" x14ac:dyDescent="0.25">
      <c r="A14" s="1" t="s">
        <v>15</v>
      </c>
      <c r="B14" s="2"/>
      <c r="C14" s="3" t="s">
        <v>1</v>
      </c>
      <c r="D14" s="2" t="s">
        <v>2</v>
      </c>
      <c r="E14" s="2" t="s">
        <v>3</v>
      </c>
      <c r="F14" s="9" t="s">
        <v>8</v>
      </c>
      <c r="G14" s="10" t="s">
        <v>16</v>
      </c>
      <c r="H14" s="1"/>
    </row>
    <row r="15" spans="1:8" ht="16.5" x14ac:dyDescent="0.25">
      <c r="B15" s="3" t="s">
        <v>5</v>
      </c>
      <c r="C15" s="3">
        <v>120</v>
      </c>
      <c r="D15" s="3">
        <v>2</v>
      </c>
      <c r="E15" s="3">
        <v>1</v>
      </c>
      <c r="G15" s="10">
        <f>D15*D18+E18*E15</f>
        <v>120</v>
      </c>
    </row>
    <row r="16" spans="1:8" ht="16.5" x14ac:dyDescent="0.25">
      <c r="B16" s="3" t="s">
        <v>6</v>
      </c>
      <c r="C16" s="3">
        <v>160</v>
      </c>
      <c r="D16" s="3">
        <v>1</v>
      </c>
      <c r="E16" s="3">
        <v>2</v>
      </c>
      <c r="G16" s="10">
        <f>D18*D16+E18*E16</f>
        <v>105</v>
      </c>
    </row>
    <row r="17" spans="2:8" ht="16.5" x14ac:dyDescent="0.25">
      <c r="B17" s="3" t="s">
        <v>7</v>
      </c>
      <c r="C17" s="3">
        <v>180</v>
      </c>
      <c r="D17" s="3">
        <v>2</v>
      </c>
      <c r="E17" s="3">
        <v>3</v>
      </c>
      <c r="G17" s="10">
        <f>D18*D17+E18*E17</f>
        <v>180</v>
      </c>
    </row>
    <row r="18" spans="2:8" ht="16.5" x14ac:dyDescent="0.25">
      <c r="B18" s="8" t="s">
        <v>17</v>
      </c>
      <c r="C18" s="1"/>
      <c r="D18" s="8">
        <v>45</v>
      </c>
      <c r="E18" s="8">
        <v>30</v>
      </c>
      <c r="F18" s="5">
        <f>D19*D18+E19*E18</f>
        <v>1620</v>
      </c>
    </row>
    <row r="19" spans="2:8" ht="16.5" x14ac:dyDescent="0.25">
      <c r="B19" s="4" t="s">
        <v>10</v>
      </c>
      <c r="C19" s="1"/>
      <c r="D19" s="4">
        <v>24</v>
      </c>
      <c r="E19" s="4">
        <v>18</v>
      </c>
    </row>
    <row r="20" spans="2:8" ht="16.5" x14ac:dyDescent="0.25">
      <c r="C20" s="1"/>
      <c r="D20" s="1"/>
    </row>
    <row r="21" spans="2:8" ht="16.5" x14ac:dyDescent="0.25">
      <c r="B21" s="12" t="s">
        <v>18</v>
      </c>
      <c r="C21" s="12"/>
      <c r="D21" s="12"/>
      <c r="E21" s="1" t="s">
        <v>12</v>
      </c>
      <c r="F21" s="3" t="s">
        <v>1</v>
      </c>
      <c r="G21" s="1" t="s">
        <v>13</v>
      </c>
      <c r="H21" s="10" t="s">
        <v>16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A1C7-4A1C-4369-AB78-BE5AC5260DD0}">
  <dimension ref="B1:I47"/>
  <sheetViews>
    <sheetView topLeftCell="A27" zoomScale="130" workbookViewId="0">
      <selection activeCell="D47" sqref="D47"/>
    </sheetView>
  </sheetViews>
  <sheetFormatPr defaultRowHeight="13" x14ac:dyDescent="0.2"/>
  <cols>
    <col min="2" max="2" width="12.6328125" customWidth="1"/>
    <col min="3" max="3" width="11.26953125" customWidth="1"/>
    <col min="4" max="4" width="10.26953125" customWidth="1"/>
    <col min="5" max="5" width="13.453125" customWidth="1"/>
    <col min="6" max="6" width="13" customWidth="1"/>
    <col min="7" max="7" width="11.08984375" customWidth="1"/>
    <col min="8" max="8" width="11.453125" customWidth="1"/>
    <col min="9" max="9" width="11.08984375" customWidth="1"/>
  </cols>
  <sheetData>
    <row r="1" spans="2:9" ht="16.5" x14ac:dyDescent="0.25">
      <c r="B1" s="1" t="s">
        <v>0</v>
      </c>
      <c r="C1" s="2"/>
      <c r="D1" s="3" t="s">
        <v>1</v>
      </c>
      <c r="E1" s="2" t="s">
        <v>2</v>
      </c>
      <c r="F1" s="2" t="s">
        <v>3</v>
      </c>
      <c r="G1" s="7" t="s">
        <v>4</v>
      </c>
    </row>
    <row r="2" spans="2:9" ht="16.5" x14ac:dyDescent="0.25">
      <c r="C2" s="3" t="s">
        <v>5</v>
      </c>
      <c r="D2" s="3">
        <v>120</v>
      </c>
      <c r="E2" s="3">
        <v>2</v>
      </c>
      <c r="F2" s="3">
        <v>1</v>
      </c>
      <c r="G2" s="11">
        <v>9.0000000000045475</v>
      </c>
    </row>
    <row r="3" spans="2:9" ht="16.5" x14ac:dyDescent="0.25">
      <c r="C3" s="3" t="s">
        <v>6</v>
      </c>
      <c r="D3" s="3">
        <v>160</v>
      </c>
      <c r="E3" s="3">
        <v>1</v>
      </c>
      <c r="F3" s="3">
        <v>2</v>
      </c>
      <c r="G3" s="11">
        <v>0</v>
      </c>
    </row>
    <row r="4" spans="2:9" ht="16.5" x14ac:dyDescent="0.25">
      <c r="C4" s="3" t="s">
        <v>7</v>
      </c>
      <c r="D4" s="3">
        <v>180</v>
      </c>
      <c r="E4" s="3">
        <v>2</v>
      </c>
      <c r="F4" s="3">
        <v>3</v>
      </c>
      <c r="G4" s="11">
        <v>2.9999999999954525</v>
      </c>
    </row>
    <row r="5" spans="2:9" ht="16.5" x14ac:dyDescent="0.25">
      <c r="C5" s="5" t="s">
        <v>8</v>
      </c>
      <c r="D5" s="5">
        <f>D2*G2+D3*G3+D4*G4</f>
        <v>1619.9999999997272</v>
      </c>
      <c r="E5" s="1"/>
      <c r="F5" s="1"/>
    </row>
    <row r="6" spans="2:9" ht="16.5" x14ac:dyDescent="0.25">
      <c r="C6" s="6" t="s">
        <v>9</v>
      </c>
      <c r="D6" s="1"/>
      <c r="E6" s="6">
        <f>E2*G2+E3*G3+E4*G4</f>
        <v>24</v>
      </c>
      <c r="F6" s="6">
        <f>F2*G2+F3*G3+F4*G4</f>
        <v>17.999999999990905</v>
      </c>
    </row>
    <row r="7" spans="2:9" ht="16.5" x14ac:dyDescent="0.25">
      <c r="C7" s="4" t="s">
        <v>10</v>
      </c>
      <c r="D7" s="1"/>
      <c r="E7" s="4">
        <v>24</v>
      </c>
      <c r="F7" s="4">
        <v>18</v>
      </c>
    </row>
    <row r="8" spans="2:9" ht="16.5" x14ac:dyDescent="0.25">
      <c r="D8" s="1"/>
      <c r="E8" s="1"/>
    </row>
    <row r="9" spans="2:9" ht="16.5" x14ac:dyDescent="0.25">
      <c r="C9" s="12" t="s">
        <v>11</v>
      </c>
      <c r="D9" s="12"/>
      <c r="E9" s="12"/>
      <c r="F9" s="1" t="s">
        <v>12</v>
      </c>
      <c r="G9" s="6" t="s">
        <v>9</v>
      </c>
      <c r="H9" s="1" t="s">
        <v>13</v>
      </c>
      <c r="I9" s="4" t="s">
        <v>10</v>
      </c>
    </row>
    <row r="11" spans="2:9" x14ac:dyDescent="0.2">
      <c r="C11" t="s">
        <v>19</v>
      </c>
    </row>
    <row r="19" spans="3:5" x14ac:dyDescent="0.2">
      <c r="C19" t="s">
        <v>20</v>
      </c>
    </row>
    <row r="28" spans="3:5" x14ac:dyDescent="0.2">
      <c r="C28" t="s">
        <v>21</v>
      </c>
      <c r="E28" t="s">
        <v>22</v>
      </c>
    </row>
    <row r="38" spans="3:7" x14ac:dyDescent="0.2">
      <c r="C38" t="s">
        <v>23</v>
      </c>
    </row>
    <row r="43" spans="3:7" x14ac:dyDescent="0.2">
      <c r="C43" t="s">
        <v>24</v>
      </c>
      <c r="G43" t="s">
        <v>25</v>
      </c>
    </row>
    <row r="45" spans="3:7" x14ac:dyDescent="0.2">
      <c r="C45" t="s">
        <v>26</v>
      </c>
      <c r="E45" t="s">
        <v>27</v>
      </c>
    </row>
    <row r="47" spans="3:7" x14ac:dyDescent="0.2">
      <c r="C47" t="s">
        <v>28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1</xdr:col>
                <xdr:colOff>825500</xdr:colOff>
                <xdr:row>11</xdr:row>
                <xdr:rowOff>139700</xdr:rowOff>
              </from>
              <to>
                <xdr:col>4</xdr:col>
                <xdr:colOff>234950</xdr:colOff>
                <xdr:row>17</xdr:row>
                <xdr:rowOff>82550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>
              <from>
                <xdr:col>2</xdr:col>
                <xdr:colOff>0</xdr:colOff>
                <xdr:row>19</xdr:row>
                <xdr:rowOff>88900</xdr:rowOff>
              </from>
              <to>
                <xdr:col>5</xdr:col>
                <xdr:colOff>419100</xdr:colOff>
                <xdr:row>21</xdr:row>
                <xdr:rowOff>88900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>
              <from>
                <xdr:col>4</xdr:col>
                <xdr:colOff>685800</xdr:colOff>
                <xdr:row>12</xdr:row>
                <xdr:rowOff>12700</xdr:rowOff>
              </from>
              <to>
                <xdr:col>6</xdr:col>
                <xdr:colOff>596900</xdr:colOff>
                <xdr:row>15</xdr:row>
                <xdr:rowOff>120650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>
              <from>
                <xdr:col>2</xdr:col>
                <xdr:colOff>12700</xdr:colOff>
                <xdr:row>21</xdr:row>
                <xdr:rowOff>158750</xdr:rowOff>
              </from>
              <to>
                <xdr:col>7</xdr:col>
                <xdr:colOff>419100</xdr:colOff>
                <xdr:row>24</xdr:row>
                <xdr:rowOff>12700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9" r:id="rId12">
          <objectPr defaultSize="0" autoPict="0" r:id="rId13">
            <anchor moveWithCells="1">
              <from>
                <xdr:col>2</xdr:col>
                <xdr:colOff>25400</xdr:colOff>
                <xdr:row>24</xdr:row>
                <xdr:rowOff>44450</xdr:rowOff>
              </from>
              <to>
                <xdr:col>7</xdr:col>
                <xdr:colOff>393700</xdr:colOff>
                <xdr:row>26</xdr:row>
                <xdr:rowOff>69850</xdr:rowOff>
              </to>
            </anchor>
          </objectPr>
        </oleObject>
      </mc:Choice>
      <mc:Fallback>
        <oleObject progId="Equation.3" shapeId="1029" r:id="rId12"/>
      </mc:Fallback>
    </mc:AlternateContent>
    <mc:AlternateContent xmlns:mc="http://schemas.openxmlformats.org/markup-compatibility/2006">
      <mc:Choice Requires="x14">
        <oleObject progId="Equation.3" shapeId="1030" r:id="rId14">
          <objectPr defaultSize="0" autoPict="0" r:id="rId15">
            <anchor moveWithCells="1">
              <from>
                <xdr:col>3</xdr:col>
                <xdr:colOff>228600</xdr:colOff>
                <xdr:row>26</xdr:row>
                <xdr:rowOff>101600</xdr:rowOff>
              </from>
              <to>
                <xdr:col>4</xdr:col>
                <xdr:colOff>0</xdr:colOff>
                <xdr:row>28</xdr:row>
                <xdr:rowOff>114300</xdr:rowOff>
              </to>
            </anchor>
          </objectPr>
        </oleObject>
      </mc:Choice>
      <mc:Fallback>
        <oleObject progId="Equation.3" shapeId="1030" r:id="rId14"/>
      </mc:Fallback>
    </mc:AlternateContent>
    <mc:AlternateContent xmlns:mc="http://schemas.openxmlformats.org/markup-compatibility/2006">
      <mc:Choice Requires="x14">
        <oleObject progId="Equation.3" shapeId="1031" r:id="rId16">
          <objectPr defaultSize="0" autoPict="0" r:id="rId17">
            <anchor moveWithCells="1">
              <from>
                <xdr:col>4</xdr:col>
                <xdr:colOff>495300</xdr:colOff>
                <xdr:row>28</xdr:row>
                <xdr:rowOff>120650</xdr:rowOff>
              </from>
              <to>
                <xdr:col>7</xdr:col>
                <xdr:colOff>381000</xdr:colOff>
                <xdr:row>32</xdr:row>
                <xdr:rowOff>44450</xdr:rowOff>
              </to>
            </anchor>
          </objectPr>
        </oleObject>
      </mc:Choice>
      <mc:Fallback>
        <oleObject progId="Equation.3" shapeId="1031" r:id="rId16"/>
      </mc:Fallback>
    </mc:AlternateContent>
    <mc:AlternateContent xmlns:mc="http://schemas.openxmlformats.org/markup-compatibility/2006">
      <mc:Choice Requires="x14">
        <oleObject progId="Equation.3" shapeId="1032" r:id="rId18">
          <objectPr defaultSize="0" autoPict="0" r:id="rId19">
            <anchor moveWithCells="1">
              <from>
                <xdr:col>4</xdr:col>
                <xdr:colOff>539750</xdr:colOff>
                <xdr:row>32</xdr:row>
                <xdr:rowOff>38100</xdr:rowOff>
              </from>
              <to>
                <xdr:col>7</xdr:col>
                <xdr:colOff>425450</xdr:colOff>
                <xdr:row>35</xdr:row>
                <xdr:rowOff>127000</xdr:rowOff>
              </to>
            </anchor>
          </objectPr>
        </oleObject>
      </mc:Choice>
      <mc:Fallback>
        <oleObject progId="Equation.3" shapeId="1032" r:id="rId18"/>
      </mc:Fallback>
    </mc:AlternateContent>
    <mc:AlternateContent xmlns:mc="http://schemas.openxmlformats.org/markup-compatibility/2006">
      <mc:Choice Requires="x14">
        <oleObject progId="Equation.3" shapeId="1033" r:id="rId20">
          <objectPr defaultSize="0" autoPict="0" r:id="rId21">
            <anchor moveWithCells="1">
              <from>
                <xdr:col>2</xdr:col>
                <xdr:colOff>647700</xdr:colOff>
                <xdr:row>39</xdr:row>
                <xdr:rowOff>12700</xdr:rowOff>
              </from>
              <to>
                <xdr:col>6</xdr:col>
                <xdr:colOff>577850</xdr:colOff>
                <xdr:row>41</xdr:row>
                <xdr:rowOff>69850</xdr:rowOff>
              </to>
            </anchor>
          </objectPr>
        </oleObject>
      </mc:Choice>
      <mc:Fallback>
        <oleObject progId="Equation.3" shapeId="1033" r:id="rId20"/>
      </mc:Fallback>
    </mc:AlternateContent>
    <mc:AlternateContent xmlns:mc="http://schemas.openxmlformats.org/markup-compatibility/2006">
      <mc:Choice Requires="x14">
        <oleObject progId="Equation.3" shapeId="1034" r:id="rId22">
          <objectPr defaultSize="0" autoPict="0" r:id="rId23">
            <anchor moveWithCells="1">
              <from>
                <xdr:col>3</xdr:col>
                <xdr:colOff>203200</xdr:colOff>
                <xdr:row>41</xdr:row>
                <xdr:rowOff>82550</xdr:rowOff>
              </from>
              <to>
                <xdr:col>6</xdr:col>
                <xdr:colOff>0</xdr:colOff>
                <xdr:row>43</xdr:row>
                <xdr:rowOff>114300</xdr:rowOff>
              </to>
            </anchor>
          </objectPr>
        </oleObject>
      </mc:Choice>
      <mc:Fallback>
        <oleObject progId="Equation.3" shapeId="1034" r:id="rId22"/>
      </mc:Fallback>
    </mc:AlternateContent>
    <mc:AlternateContent xmlns:mc="http://schemas.openxmlformats.org/markup-compatibility/2006">
      <mc:Choice Requires="x14">
        <oleObject progId="Equation.3" shapeId="1035" r:id="rId24">
          <objectPr defaultSize="0" autoPict="0" r:id="rId25">
            <anchor moveWithCells="1">
              <from>
                <xdr:col>2</xdr:col>
                <xdr:colOff>336550</xdr:colOff>
                <xdr:row>43</xdr:row>
                <xdr:rowOff>69850</xdr:rowOff>
              </from>
              <to>
                <xdr:col>3</xdr:col>
                <xdr:colOff>673100</xdr:colOff>
                <xdr:row>45</xdr:row>
                <xdr:rowOff>101600</xdr:rowOff>
              </to>
            </anchor>
          </objectPr>
        </oleObject>
      </mc:Choice>
      <mc:Fallback>
        <oleObject progId="Equation.3" shapeId="1035" r:id="rId2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FFED-69D4-4333-97D6-A2C3E4F9F11A}">
  <dimension ref="A1:H48"/>
  <sheetViews>
    <sheetView topLeftCell="B27" zoomScale="130" workbookViewId="0">
      <selection activeCell="H37" sqref="H37"/>
    </sheetView>
  </sheetViews>
  <sheetFormatPr defaultRowHeight="13" x14ac:dyDescent="0.2"/>
  <cols>
    <col min="1" max="1" width="12" customWidth="1"/>
    <col min="2" max="2" width="10.453125" customWidth="1"/>
    <col min="3" max="3" width="11.26953125" customWidth="1"/>
    <col min="4" max="4" width="12.6328125" customWidth="1"/>
    <col min="5" max="5" width="12.36328125" customWidth="1"/>
    <col min="6" max="6" width="10" customWidth="1"/>
    <col min="7" max="7" width="10.6328125" customWidth="1"/>
    <col min="8" max="8" width="10.453125" customWidth="1"/>
  </cols>
  <sheetData>
    <row r="1" spans="1:8" ht="16.5" x14ac:dyDescent="0.25">
      <c r="A1" s="1" t="s">
        <v>15</v>
      </c>
      <c r="B1" s="2"/>
      <c r="C1" s="3" t="s">
        <v>1</v>
      </c>
      <c r="D1" s="2" t="s">
        <v>2</v>
      </c>
      <c r="E1" s="2" t="s">
        <v>3</v>
      </c>
      <c r="F1" s="9" t="s">
        <v>8</v>
      </c>
      <c r="G1" s="10" t="s">
        <v>16</v>
      </c>
      <c r="H1" s="1"/>
    </row>
    <row r="2" spans="1:8" ht="16.5" x14ac:dyDescent="0.25">
      <c r="B2" s="3" t="s">
        <v>5</v>
      </c>
      <c r="C2" s="3">
        <v>120</v>
      </c>
      <c r="D2" s="3">
        <v>2</v>
      </c>
      <c r="E2" s="3">
        <v>1</v>
      </c>
      <c r="G2" s="10">
        <f>D2*$D$5+E2*$E$5</f>
        <v>120</v>
      </c>
    </row>
    <row r="3" spans="1:8" ht="16.5" x14ac:dyDescent="0.25">
      <c r="B3" s="3" t="s">
        <v>6</v>
      </c>
      <c r="C3" s="3">
        <v>160</v>
      </c>
      <c r="D3" s="3">
        <v>1</v>
      </c>
      <c r="E3" s="3">
        <v>2</v>
      </c>
      <c r="G3" s="10">
        <f>D3*$D$5+E3*$E$5</f>
        <v>105</v>
      </c>
    </row>
    <row r="4" spans="1:8" ht="16.5" x14ac:dyDescent="0.25">
      <c r="B4" s="3" t="s">
        <v>7</v>
      </c>
      <c r="C4" s="3">
        <v>180</v>
      </c>
      <c r="D4" s="3">
        <v>2</v>
      </c>
      <c r="E4" s="3">
        <v>3</v>
      </c>
      <c r="G4" s="10">
        <f>D4*$D$5+E4*$E$5</f>
        <v>180</v>
      </c>
    </row>
    <row r="5" spans="1:8" ht="16.5" x14ac:dyDescent="0.25">
      <c r="B5" s="8" t="s">
        <v>17</v>
      </c>
      <c r="C5" s="1"/>
      <c r="D5" s="8">
        <v>45</v>
      </c>
      <c r="E5" s="8">
        <v>30</v>
      </c>
      <c r="F5" s="5">
        <f>D6*D5+E6*E5</f>
        <v>1620</v>
      </c>
    </row>
    <row r="6" spans="1:8" ht="16.5" x14ac:dyDescent="0.25">
      <c r="B6" s="4" t="s">
        <v>10</v>
      </c>
      <c r="C6" s="1"/>
      <c r="D6" s="4">
        <v>24</v>
      </c>
      <c r="E6" s="4">
        <v>18</v>
      </c>
    </row>
    <row r="7" spans="1:8" ht="16.5" x14ac:dyDescent="0.25">
      <c r="C7" s="1"/>
      <c r="D7" s="1"/>
    </row>
    <row r="8" spans="1:8" ht="16.5" x14ac:dyDescent="0.25">
      <c r="B8" s="12" t="s">
        <v>18</v>
      </c>
      <c r="C8" s="12"/>
      <c r="D8" s="12"/>
      <c r="E8" s="1" t="s">
        <v>12</v>
      </c>
      <c r="F8" s="3" t="s">
        <v>1</v>
      </c>
      <c r="G8" s="1" t="s">
        <v>13</v>
      </c>
      <c r="H8" s="10" t="s">
        <v>16</v>
      </c>
    </row>
    <row r="10" spans="1:8" x14ac:dyDescent="0.2">
      <c r="C10" t="s">
        <v>19</v>
      </c>
    </row>
    <row r="18" spans="3:6" x14ac:dyDescent="0.2">
      <c r="C18" t="s">
        <v>20</v>
      </c>
    </row>
    <row r="30" spans="3:6" x14ac:dyDescent="0.2">
      <c r="C30" t="s">
        <v>29</v>
      </c>
      <c r="F30" t="s">
        <v>22</v>
      </c>
    </row>
    <row r="39" spans="3:6" x14ac:dyDescent="0.2">
      <c r="C39" t="s">
        <v>23</v>
      </c>
    </row>
    <row r="44" spans="3:6" x14ac:dyDescent="0.2">
      <c r="C44" t="s">
        <v>24</v>
      </c>
      <c r="F44" t="s">
        <v>30</v>
      </c>
    </row>
    <row r="46" spans="3:6" x14ac:dyDescent="0.2">
      <c r="C46" t="s">
        <v>26</v>
      </c>
      <c r="E46" t="s">
        <v>31</v>
      </c>
    </row>
    <row r="48" spans="3:6" x14ac:dyDescent="0.2">
      <c r="C48" t="s">
        <v>32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61" r:id="rId4">
          <objectPr defaultSize="0" autoPict="0" r:id="rId5">
            <anchor moveWithCells="1">
              <from>
                <xdr:col>1</xdr:col>
                <xdr:colOff>711200</xdr:colOff>
                <xdr:row>18</xdr:row>
                <xdr:rowOff>82550</xdr:rowOff>
              </from>
              <to>
                <xdr:col>5</xdr:col>
                <xdr:colOff>177800</xdr:colOff>
                <xdr:row>20</xdr:row>
                <xdr:rowOff>88900</xdr:rowOff>
              </to>
            </anchor>
          </objectPr>
        </oleObject>
      </mc:Choice>
      <mc:Fallback>
        <oleObject progId="Equation.3" shapeId="2061" r:id="rId4"/>
      </mc:Fallback>
    </mc:AlternateContent>
    <mc:AlternateContent xmlns:mc="http://schemas.openxmlformats.org/markup-compatibility/2006">
      <mc:Choice Requires="x14">
        <oleObject progId="Equation.3" shapeId="2065" r:id="rId6">
          <objectPr defaultSize="0" autoPict="0" r:id="rId7">
            <anchor moveWithCells="1">
              <from>
                <xdr:col>4</xdr:col>
                <xdr:colOff>190500</xdr:colOff>
                <xdr:row>28</xdr:row>
                <xdr:rowOff>88900</xdr:rowOff>
              </from>
              <to>
                <xdr:col>4</xdr:col>
                <xdr:colOff>787400</xdr:colOff>
                <xdr:row>30</xdr:row>
                <xdr:rowOff>50800</xdr:rowOff>
              </to>
            </anchor>
          </objectPr>
        </oleObject>
      </mc:Choice>
      <mc:Fallback>
        <oleObject progId="Equation.3" shapeId="2065" r:id="rId6"/>
      </mc:Fallback>
    </mc:AlternateContent>
    <mc:AlternateContent xmlns:mc="http://schemas.openxmlformats.org/markup-compatibility/2006">
      <mc:Choice Requires="x14">
        <oleObject progId="Equation.3" shapeId="2068" r:id="rId8">
          <objectPr defaultSize="0" autoPict="0" r:id="rId9">
            <anchor moveWithCells="1">
              <from>
                <xdr:col>2</xdr:col>
                <xdr:colOff>641350</xdr:colOff>
                <xdr:row>40</xdr:row>
                <xdr:rowOff>12700</xdr:rowOff>
              </from>
              <to>
                <xdr:col>5</xdr:col>
                <xdr:colOff>463550</xdr:colOff>
                <xdr:row>42</xdr:row>
                <xdr:rowOff>76200</xdr:rowOff>
              </to>
            </anchor>
          </objectPr>
        </oleObject>
      </mc:Choice>
      <mc:Fallback>
        <oleObject progId="Equation.3" shapeId="2068" r:id="rId8"/>
      </mc:Fallback>
    </mc:AlternateContent>
    <mc:AlternateContent xmlns:mc="http://schemas.openxmlformats.org/markup-compatibility/2006">
      <mc:Choice Requires="x14">
        <oleObject progId="Equation.3" shapeId="2069" r:id="rId10">
          <objectPr defaultSize="0" autoPict="0" r:id="rId11">
            <anchor moveWithCells="1">
              <from>
                <xdr:col>3</xdr:col>
                <xdr:colOff>203200</xdr:colOff>
                <xdr:row>42</xdr:row>
                <xdr:rowOff>82550</xdr:rowOff>
              </from>
              <to>
                <xdr:col>4</xdr:col>
                <xdr:colOff>685800</xdr:colOff>
                <xdr:row>44</xdr:row>
                <xdr:rowOff>114300</xdr:rowOff>
              </to>
            </anchor>
          </objectPr>
        </oleObject>
      </mc:Choice>
      <mc:Fallback>
        <oleObject progId="Equation.3" shapeId="2069" r:id="rId10"/>
      </mc:Fallback>
    </mc:AlternateContent>
    <mc:AlternateContent xmlns:mc="http://schemas.openxmlformats.org/markup-compatibility/2006">
      <mc:Choice Requires="x14">
        <oleObject progId="Equation.3" shapeId="2070" r:id="rId12">
          <objectPr defaultSize="0" autoPict="0" r:id="rId13">
            <anchor moveWithCells="1">
              <from>
                <xdr:col>2</xdr:col>
                <xdr:colOff>330200</xdr:colOff>
                <xdr:row>44</xdr:row>
                <xdr:rowOff>50800</xdr:rowOff>
              </from>
              <to>
                <xdr:col>3</xdr:col>
                <xdr:colOff>457200</xdr:colOff>
                <xdr:row>46</xdr:row>
                <xdr:rowOff>82550</xdr:rowOff>
              </to>
            </anchor>
          </objectPr>
        </oleObject>
      </mc:Choice>
      <mc:Fallback>
        <oleObject progId="Equation.3" shapeId="2070" r:id="rId12"/>
      </mc:Fallback>
    </mc:AlternateContent>
    <mc:AlternateContent xmlns:mc="http://schemas.openxmlformats.org/markup-compatibility/2006">
      <mc:Choice Requires="x14">
        <oleObject progId="Equation.3" shapeId="2072" r:id="rId14">
          <objectPr defaultSize="0" autoPict="0" r:id="rId15">
            <anchor moveWithCells="1">
              <from>
                <xdr:col>1</xdr:col>
                <xdr:colOff>698500</xdr:colOff>
                <xdr:row>10</xdr:row>
                <xdr:rowOff>139700</xdr:rowOff>
              </from>
              <to>
                <xdr:col>4</xdr:col>
                <xdr:colOff>139700</xdr:colOff>
                <xdr:row>15</xdr:row>
                <xdr:rowOff>0</xdr:rowOff>
              </to>
            </anchor>
          </objectPr>
        </oleObject>
      </mc:Choice>
      <mc:Fallback>
        <oleObject progId="Equation.3" shapeId="2072" r:id="rId14"/>
      </mc:Fallback>
    </mc:AlternateContent>
    <mc:AlternateContent xmlns:mc="http://schemas.openxmlformats.org/markup-compatibility/2006">
      <mc:Choice Requires="x14">
        <oleObject progId="Equation.3" shapeId="2073" r:id="rId16">
          <objectPr defaultSize="0" autoPict="0" r:id="rId17">
            <anchor moveWithCells="1">
              <from>
                <xdr:col>4</xdr:col>
                <xdr:colOff>730250</xdr:colOff>
                <xdr:row>10</xdr:row>
                <xdr:rowOff>114300</xdr:rowOff>
              </from>
              <to>
                <xdr:col>8</xdr:col>
                <xdr:colOff>146050</xdr:colOff>
                <xdr:row>16</xdr:row>
                <xdr:rowOff>101600</xdr:rowOff>
              </to>
            </anchor>
          </objectPr>
        </oleObject>
      </mc:Choice>
      <mc:Fallback>
        <oleObject progId="Equation.3" shapeId="2073" r:id="rId16"/>
      </mc:Fallback>
    </mc:AlternateContent>
    <mc:AlternateContent xmlns:mc="http://schemas.openxmlformats.org/markup-compatibility/2006">
      <mc:Choice Requires="x14">
        <oleObject progId="Equation.3" shapeId="2074" r:id="rId18">
          <objectPr defaultSize="0" autoPict="0" r:id="rId19">
            <anchor moveWithCells="1">
              <from>
                <xdr:col>2</xdr:col>
                <xdr:colOff>25400</xdr:colOff>
                <xdr:row>21</xdr:row>
                <xdr:rowOff>38100</xdr:rowOff>
              </from>
              <to>
                <xdr:col>6</xdr:col>
                <xdr:colOff>152400</xdr:colOff>
                <xdr:row>23</xdr:row>
                <xdr:rowOff>6350</xdr:rowOff>
              </to>
            </anchor>
          </objectPr>
        </oleObject>
      </mc:Choice>
      <mc:Fallback>
        <oleObject progId="Equation.3" shapeId="2074" r:id="rId18"/>
      </mc:Fallback>
    </mc:AlternateContent>
    <mc:AlternateContent xmlns:mc="http://schemas.openxmlformats.org/markup-compatibility/2006">
      <mc:Choice Requires="x14">
        <oleObject progId="Equation.3" shapeId="2075" r:id="rId20">
          <objectPr defaultSize="0" autoPict="0" r:id="rId21">
            <anchor moveWithCells="1">
              <from>
                <xdr:col>2</xdr:col>
                <xdr:colOff>25400</xdr:colOff>
                <xdr:row>23</xdr:row>
                <xdr:rowOff>69850</xdr:rowOff>
              </from>
              <to>
                <xdr:col>6</xdr:col>
                <xdr:colOff>196850</xdr:colOff>
                <xdr:row>25</xdr:row>
                <xdr:rowOff>69850</xdr:rowOff>
              </to>
            </anchor>
          </objectPr>
        </oleObject>
      </mc:Choice>
      <mc:Fallback>
        <oleObject progId="Equation.3" shapeId="2075" r:id="rId20"/>
      </mc:Fallback>
    </mc:AlternateContent>
    <mc:AlternateContent xmlns:mc="http://schemas.openxmlformats.org/markup-compatibility/2006">
      <mc:Choice Requires="x14">
        <oleObject progId="Equation.3" shapeId="2076" r:id="rId22">
          <objectPr defaultSize="0" autoPict="0" r:id="rId23">
            <anchor moveWithCells="1">
              <from>
                <xdr:col>1</xdr:col>
                <xdr:colOff>711200</xdr:colOff>
                <xdr:row>26</xdr:row>
                <xdr:rowOff>12700</xdr:rowOff>
              </from>
              <to>
                <xdr:col>6</xdr:col>
                <xdr:colOff>292100</xdr:colOff>
                <xdr:row>28</xdr:row>
                <xdr:rowOff>6350</xdr:rowOff>
              </to>
            </anchor>
          </objectPr>
        </oleObject>
      </mc:Choice>
      <mc:Fallback>
        <oleObject progId="Equation.3" shapeId="2076" r:id="rId22"/>
      </mc:Fallback>
    </mc:AlternateContent>
    <mc:AlternateContent xmlns:mc="http://schemas.openxmlformats.org/markup-compatibility/2006">
      <mc:Choice Requires="x14">
        <oleObject progId="Equation.3" shapeId="2077" r:id="rId24">
          <objectPr defaultSize="0" autoPict="0" r:id="rId25">
            <anchor moveWithCells="1">
              <from>
                <xdr:col>3</xdr:col>
                <xdr:colOff>831850</xdr:colOff>
                <xdr:row>31</xdr:row>
                <xdr:rowOff>139700</xdr:rowOff>
              </from>
              <to>
                <xdr:col>7</xdr:col>
                <xdr:colOff>139700</xdr:colOff>
                <xdr:row>34</xdr:row>
                <xdr:rowOff>44450</xdr:rowOff>
              </to>
            </anchor>
          </objectPr>
        </oleObject>
      </mc:Choice>
      <mc:Fallback>
        <oleObject progId="Equation.3" shapeId="2077" r:id="rId24"/>
      </mc:Fallback>
    </mc:AlternateContent>
    <mc:AlternateContent xmlns:mc="http://schemas.openxmlformats.org/markup-compatibility/2006">
      <mc:Choice Requires="x14">
        <oleObject progId="Equation.3" shapeId="2078" r:id="rId26">
          <objectPr defaultSize="0" autoPict="0" r:id="rId27">
            <anchor moveWithCells="1">
              <from>
                <xdr:col>3</xdr:col>
                <xdr:colOff>863600</xdr:colOff>
                <xdr:row>34</xdr:row>
                <xdr:rowOff>88900</xdr:rowOff>
              </from>
              <to>
                <xdr:col>6</xdr:col>
                <xdr:colOff>717550</xdr:colOff>
                <xdr:row>37</xdr:row>
                <xdr:rowOff>12700</xdr:rowOff>
              </to>
            </anchor>
          </objectPr>
        </oleObject>
      </mc:Choice>
      <mc:Fallback>
        <oleObject progId="Equation.3" shapeId="2078" r:id="rId2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28A2-D221-4A59-889F-862DB1C2131B}">
  <dimension ref="A2:K27"/>
  <sheetViews>
    <sheetView zoomScale="152" zoomScaleNormal="152" workbookViewId="0">
      <selection activeCell="K11" sqref="K11"/>
    </sheetView>
  </sheetViews>
  <sheetFormatPr defaultRowHeight="13" x14ac:dyDescent="0.2"/>
  <cols>
    <col min="2" max="2" width="11.7265625" bestFit="1" customWidth="1"/>
    <col min="3" max="4" width="9.08984375" bestFit="1" customWidth="1"/>
    <col min="5" max="7" width="9.26953125" bestFit="1" customWidth="1"/>
  </cols>
  <sheetData>
    <row r="2" spans="1:11" ht="16.5" x14ac:dyDescent="0.25">
      <c r="B2" s="13"/>
      <c r="C2" s="13">
        <v>0</v>
      </c>
      <c r="D2" s="13">
        <v>0</v>
      </c>
      <c r="E2" s="13">
        <v>120</v>
      </c>
      <c r="F2" s="13">
        <v>160</v>
      </c>
      <c r="G2" s="13">
        <v>180</v>
      </c>
    </row>
    <row r="3" spans="1:11" ht="16.5" x14ac:dyDescent="0.25">
      <c r="B3" s="14">
        <v>120</v>
      </c>
      <c r="C3" s="14">
        <v>2</v>
      </c>
      <c r="D3" s="14">
        <v>1</v>
      </c>
      <c r="E3" s="15">
        <v>1</v>
      </c>
      <c r="F3" s="14">
        <v>0</v>
      </c>
      <c r="G3" s="14">
        <v>0</v>
      </c>
    </row>
    <row r="4" spans="1:11" ht="16.5" x14ac:dyDescent="0.25">
      <c r="B4" s="14">
        <v>160</v>
      </c>
      <c r="C4" s="14">
        <v>1</v>
      </c>
      <c r="D4" s="14">
        <v>2</v>
      </c>
      <c r="E4" s="14">
        <v>0</v>
      </c>
      <c r="F4" s="15">
        <v>1</v>
      </c>
      <c r="G4" s="14">
        <v>0</v>
      </c>
    </row>
    <row r="5" spans="1:11" ht="16.5" x14ac:dyDescent="0.25">
      <c r="B5" s="14">
        <v>180</v>
      </c>
      <c r="C5" s="14">
        <v>2</v>
      </c>
      <c r="D5" s="14">
        <v>3</v>
      </c>
      <c r="E5" s="14">
        <v>0</v>
      </c>
      <c r="F5" s="14">
        <v>0</v>
      </c>
      <c r="G5" s="15">
        <v>1</v>
      </c>
    </row>
    <row r="6" spans="1:11" ht="16.5" x14ac:dyDescent="0.25">
      <c r="B6" s="14">
        <v>0</v>
      </c>
      <c r="C6" s="14">
        <v>24</v>
      </c>
      <c r="D6" s="14">
        <v>18</v>
      </c>
      <c r="E6" s="14">
        <v>0</v>
      </c>
      <c r="F6" s="14">
        <v>0</v>
      </c>
      <c r="G6" s="14">
        <v>0</v>
      </c>
    </row>
    <row r="8" spans="1:11" ht="16.5" x14ac:dyDescent="0.25">
      <c r="A8" s="13"/>
      <c r="B8" s="13"/>
      <c r="C8" s="13">
        <v>60</v>
      </c>
      <c r="D8" s="13"/>
      <c r="E8" s="13"/>
      <c r="F8" s="13">
        <v>100</v>
      </c>
      <c r="G8" s="13">
        <v>60</v>
      </c>
      <c r="H8" s="13"/>
      <c r="I8" s="13"/>
      <c r="J8" s="13"/>
      <c r="K8" s="13"/>
    </row>
    <row r="9" spans="1:11" ht="16.5" x14ac:dyDescent="0.25">
      <c r="A9" s="13"/>
      <c r="B9" s="14">
        <f t="shared" ref="B9:G9" si="0">B3/$C$3</f>
        <v>60</v>
      </c>
      <c r="C9" s="16">
        <f t="shared" si="0"/>
        <v>1</v>
      </c>
      <c r="D9" s="14">
        <f t="shared" si="0"/>
        <v>0.5</v>
      </c>
      <c r="E9" s="14">
        <f t="shared" si="0"/>
        <v>0.5</v>
      </c>
      <c r="F9" s="14">
        <f t="shared" si="0"/>
        <v>0</v>
      </c>
      <c r="G9" s="14">
        <f t="shared" si="0"/>
        <v>0</v>
      </c>
      <c r="H9" s="13"/>
      <c r="I9" s="13"/>
      <c r="J9" s="13"/>
      <c r="K9" s="13"/>
    </row>
    <row r="10" spans="1:11" ht="16.5" x14ac:dyDescent="0.25">
      <c r="A10" s="13"/>
      <c r="B10" s="14">
        <f t="shared" ref="B10:G10" si="1">B4-B9*$C$4</f>
        <v>100</v>
      </c>
      <c r="C10" s="14">
        <f t="shared" si="1"/>
        <v>0</v>
      </c>
      <c r="D10" s="14">
        <f t="shared" si="1"/>
        <v>1.5</v>
      </c>
      <c r="E10" s="14">
        <f t="shared" si="1"/>
        <v>-0.5</v>
      </c>
      <c r="F10" s="15">
        <f t="shared" si="1"/>
        <v>1</v>
      </c>
      <c r="G10" s="14">
        <f t="shared" si="1"/>
        <v>0</v>
      </c>
      <c r="H10" s="13"/>
      <c r="I10" s="13"/>
      <c r="J10" s="13"/>
      <c r="K10" s="13"/>
    </row>
    <row r="11" spans="1:11" ht="16.5" x14ac:dyDescent="0.25">
      <c r="A11" s="13"/>
      <c r="B11" s="14">
        <f t="shared" ref="B11:G11" si="2">B5-B9*$C$5</f>
        <v>60</v>
      </c>
      <c r="C11" s="14">
        <f t="shared" si="2"/>
        <v>0</v>
      </c>
      <c r="D11" s="14">
        <f t="shared" si="2"/>
        <v>2</v>
      </c>
      <c r="E11" s="14">
        <f t="shared" si="2"/>
        <v>-1</v>
      </c>
      <c r="F11" s="14">
        <f t="shared" si="2"/>
        <v>0</v>
      </c>
      <c r="G11" s="15">
        <f t="shared" si="2"/>
        <v>1</v>
      </c>
      <c r="H11" s="13"/>
      <c r="I11" s="13"/>
      <c r="J11" s="13"/>
      <c r="K11" s="13"/>
    </row>
    <row r="12" spans="1:11" ht="16.5" x14ac:dyDescent="0.25">
      <c r="A12" s="13"/>
      <c r="B12" s="14">
        <f t="shared" ref="B12:G12" si="3">B6-B9*$C$6</f>
        <v>-1440</v>
      </c>
      <c r="C12" s="14">
        <f t="shared" si="3"/>
        <v>0</v>
      </c>
      <c r="D12" s="14">
        <f t="shared" si="3"/>
        <v>6</v>
      </c>
      <c r="E12" s="14">
        <f t="shared" si="3"/>
        <v>-12</v>
      </c>
      <c r="F12" s="14">
        <f t="shared" si="3"/>
        <v>0</v>
      </c>
      <c r="G12" s="14">
        <f t="shared" si="3"/>
        <v>0</v>
      </c>
      <c r="H12" s="13"/>
      <c r="I12" s="13"/>
      <c r="J12" s="13"/>
      <c r="K12" s="13"/>
    </row>
    <row r="13" spans="1:11" ht="16.5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6.5" x14ac:dyDescent="0.25">
      <c r="A14" s="13"/>
      <c r="B14" s="13"/>
      <c r="C14" s="13">
        <v>45</v>
      </c>
      <c r="D14" s="13">
        <v>30</v>
      </c>
      <c r="E14" s="13">
        <v>0</v>
      </c>
      <c r="F14" s="13">
        <v>55</v>
      </c>
      <c r="G14" s="13">
        <v>0</v>
      </c>
      <c r="H14" s="13"/>
      <c r="I14" s="13"/>
      <c r="J14" s="13"/>
      <c r="K14" s="13"/>
    </row>
    <row r="15" spans="1:11" ht="16.5" x14ac:dyDescent="0.25">
      <c r="A15" s="13"/>
      <c r="B15" s="14">
        <f t="shared" ref="B15:G15" si="4">B9-B17*$D$9</f>
        <v>45</v>
      </c>
      <c r="C15" s="16">
        <f t="shared" si="4"/>
        <v>1</v>
      </c>
      <c r="D15" s="14">
        <f t="shared" si="4"/>
        <v>0</v>
      </c>
      <c r="E15" s="14">
        <f t="shared" si="4"/>
        <v>0.75</v>
      </c>
      <c r="F15" s="14">
        <f t="shared" si="4"/>
        <v>0</v>
      </c>
      <c r="G15" s="14">
        <f t="shared" si="4"/>
        <v>-0.25</v>
      </c>
      <c r="H15" s="13"/>
      <c r="I15" s="13"/>
      <c r="J15" s="13"/>
      <c r="K15" s="13"/>
    </row>
    <row r="16" spans="1:11" ht="16.5" x14ac:dyDescent="0.25">
      <c r="A16" s="13"/>
      <c r="B16" s="14">
        <f t="shared" ref="B16:G16" si="5">B10-B17*$D$10</f>
        <v>55</v>
      </c>
      <c r="C16" s="14">
        <f t="shared" si="5"/>
        <v>0</v>
      </c>
      <c r="D16" s="14">
        <f t="shared" si="5"/>
        <v>0</v>
      </c>
      <c r="E16" s="14">
        <f t="shared" si="5"/>
        <v>0.25</v>
      </c>
      <c r="F16" s="15">
        <f t="shared" si="5"/>
        <v>1</v>
      </c>
      <c r="G16" s="14">
        <f t="shared" si="5"/>
        <v>-0.75</v>
      </c>
      <c r="H16" s="13"/>
      <c r="I16" s="13"/>
      <c r="J16" s="13"/>
      <c r="K16" s="13"/>
    </row>
    <row r="17" spans="1:11" ht="16.5" x14ac:dyDescent="0.25">
      <c r="A17" s="13"/>
      <c r="B17" s="14">
        <f t="shared" ref="B17:G17" si="6">B11/$D$11</f>
        <v>30</v>
      </c>
      <c r="C17" s="14">
        <f t="shared" si="6"/>
        <v>0</v>
      </c>
      <c r="D17" s="16">
        <f t="shared" si="6"/>
        <v>1</v>
      </c>
      <c r="E17" s="14">
        <f t="shared" si="6"/>
        <v>-0.5</v>
      </c>
      <c r="F17" s="14">
        <f t="shared" si="6"/>
        <v>0</v>
      </c>
      <c r="G17" s="14">
        <f t="shared" si="6"/>
        <v>0.5</v>
      </c>
      <c r="H17" s="13"/>
      <c r="I17" s="13"/>
      <c r="J17" s="13"/>
      <c r="K17" s="13"/>
    </row>
    <row r="18" spans="1:11" ht="16.5" x14ac:dyDescent="0.25">
      <c r="A18" s="13"/>
      <c r="B18" s="14">
        <f t="shared" ref="B18:G18" si="7">B12-B17*$D$12</f>
        <v>-1620</v>
      </c>
      <c r="C18" s="14">
        <f t="shared" si="7"/>
        <v>0</v>
      </c>
      <c r="D18" s="14">
        <f t="shared" si="7"/>
        <v>0</v>
      </c>
      <c r="E18" s="14">
        <f t="shared" si="7"/>
        <v>-9</v>
      </c>
      <c r="F18" s="14">
        <f t="shared" si="7"/>
        <v>0</v>
      </c>
      <c r="G18" s="14">
        <f t="shared" si="7"/>
        <v>-3</v>
      </c>
      <c r="H18" s="13"/>
      <c r="I18" s="13"/>
      <c r="J18" s="13"/>
      <c r="K18" s="13"/>
    </row>
    <row r="19" spans="1:11" ht="16.5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6.5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6.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6.5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5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6.5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6.5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6.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6.5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40B4-1FC6-4CF8-B878-B574F7720C9E}">
  <dimension ref="A3:J39"/>
  <sheetViews>
    <sheetView topLeftCell="A18" zoomScale="141" zoomScaleNormal="141" workbookViewId="0">
      <selection activeCell="A28" sqref="A28"/>
    </sheetView>
  </sheetViews>
  <sheetFormatPr defaultRowHeight="13" x14ac:dyDescent="0.2"/>
  <cols>
    <col min="1" max="1" width="11.7265625" bestFit="1" customWidth="1"/>
    <col min="2" max="4" width="9.26953125" bestFit="1" customWidth="1"/>
    <col min="5" max="6" width="9.08984375" bestFit="1" customWidth="1"/>
  </cols>
  <sheetData>
    <row r="3" spans="1:9" ht="16.5" x14ac:dyDescent="0.25">
      <c r="A3" s="13"/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24</v>
      </c>
      <c r="H3" s="13">
        <v>18</v>
      </c>
    </row>
    <row r="4" spans="1:9" ht="16.5" x14ac:dyDescent="0.25">
      <c r="A4" s="13">
        <v>24</v>
      </c>
      <c r="B4" s="14">
        <v>2</v>
      </c>
      <c r="C4" s="14">
        <v>1</v>
      </c>
      <c r="D4" s="14">
        <v>2</v>
      </c>
      <c r="E4" s="18">
        <v>-1</v>
      </c>
      <c r="F4" s="18">
        <v>0</v>
      </c>
      <c r="G4" s="13">
        <v>1</v>
      </c>
      <c r="H4" s="13">
        <v>0</v>
      </c>
      <c r="I4" s="13"/>
    </row>
    <row r="5" spans="1:9" ht="16.5" x14ac:dyDescent="0.25">
      <c r="A5" s="13">
        <v>18</v>
      </c>
      <c r="B5" s="14">
        <v>1</v>
      </c>
      <c r="C5" s="14">
        <v>2</v>
      </c>
      <c r="D5" s="14">
        <v>3</v>
      </c>
      <c r="E5" s="18">
        <v>0</v>
      </c>
      <c r="F5" s="13">
        <v>-1</v>
      </c>
      <c r="G5" s="13">
        <v>0</v>
      </c>
      <c r="H5" s="13">
        <v>1</v>
      </c>
      <c r="I5" s="13"/>
    </row>
    <row r="6" spans="1:9" ht="16.5" x14ac:dyDescent="0.25">
      <c r="A6" s="13">
        <v>0</v>
      </c>
      <c r="B6" s="14">
        <v>0</v>
      </c>
      <c r="C6" s="14">
        <v>0</v>
      </c>
      <c r="D6" s="14">
        <v>0</v>
      </c>
      <c r="E6" s="18">
        <v>0</v>
      </c>
      <c r="F6" s="18">
        <v>0</v>
      </c>
      <c r="G6" s="13">
        <v>1</v>
      </c>
      <c r="H6" s="13">
        <v>1</v>
      </c>
      <c r="I6" s="13"/>
    </row>
    <row r="7" spans="1:9" ht="16.5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9" ht="16.5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9" ht="16.5" x14ac:dyDescent="0.25">
      <c r="A9" s="13"/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24</v>
      </c>
      <c r="H9" s="13">
        <v>18</v>
      </c>
      <c r="I9" s="13"/>
    </row>
    <row r="10" spans="1:9" ht="16.5" x14ac:dyDescent="0.25">
      <c r="A10" s="13">
        <v>24</v>
      </c>
      <c r="B10" s="14">
        <v>2</v>
      </c>
      <c r="C10" s="14">
        <v>1</v>
      </c>
      <c r="D10" s="14">
        <v>2</v>
      </c>
      <c r="E10" s="18">
        <v>-1</v>
      </c>
      <c r="F10" s="18">
        <v>0</v>
      </c>
      <c r="G10" s="19">
        <v>1</v>
      </c>
      <c r="H10" s="13">
        <v>0</v>
      </c>
      <c r="I10" s="13"/>
    </row>
    <row r="11" spans="1:9" ht="16.5" x14ac:dyDescent="0.25">
      <c r="A11" s="13">
        <v>18</v>
      </c>
      <c r="B11" s="14">
        <v>1</v>
      </c>
      <c r="C11" s="14">
        <v>2</v>
      </c>
      <c r="D11" s="14">
        <v>3</v>
      </c>
      <c r="E11" s="18">
        <v>0</v>
      </c>
      <c r="F11" s="13">
        <v>-1</v>
      </c>
      <c r="G11" s="13">
        <v>0</v>
      </c>
      <c r="H11" s="19">
        <v>1</v>
      </c>
      <c r="I11" s="13"/>
    </row>
    <row r="12" spans="1:9" ht="16.5" x14ac:dyDescent="0.25">
      <c r="A12" s="13">
        <f>A6-SUM(A10:A11)</f>
        <v>-42</v>
      </c>
      <c r="B12" s="13">
        <f t="shared" ref="B12:H12" si="0">B6-SUM(B10:B11)</f>
        <v>-3</v>
      </c>
      <c r="C12" s="13">
        <f t="shared" si="0"/>
        <v>-3</v>
      </c>
      <c r="D12" s="13">
        <f t="shared" si="0"/>
        <v>-5</v>
      </c>
      <c r="E12" s="13">
        <f t="shared" si="0"/>
        <v>1</v>
      </c>
      <c r="F12" s="13">
        <f t="shared" si="0"/>
        <v>1</v>
      </c>
      <c r="G12" s="13">
        <f t="shared" si="0"/>
        <v>0</v>
      </c>
      <c r="H12" s="13">
        <f t="shared" si="0"/>
        <v>0</v>
      </c>
      <c r="I12" s="13"/>
    </row>
    <row r="13" spans="1:9" ht="16.5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.5" x14ac:dyDescent="0.25">
      <c r="A14" s="13"/>
      <c r="B14" s="13">
        <v>12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6</v>
      </c>
      <c r="I14" s="13"/>
    </row>
    <row r="15" spans="1:9" ht="16.5" x14ac:dyDescent="0.25">
      <c r="A15" s="13">
        <f>A10/$B$10</f>
        <v>12</v>
      </c>
      <c r="B15" s="17">
        <f t="shared" ref="B15:H15" si="1">B10/$B$10</f>
        <v>1</v>
      </c>
      <c r="C15" s="13">
        <f t="shared" si="1"/>
        <v>0.5</v>
      </c>
      <c r="D15" s="13">
        <f t="shared" si="1"/>
        <v>1</v>
      </c>
      <c r="E15" s="13">
        <f t="shared" si="1"/>
        <v>-0.5</v>
      </c>
      <c r="F15" s="13">
        <f t="shared" si="1"/>
        <v>0</v>
      </c>
      <c r="G15" s="13">
        <f t="shared" si="1"/>
        <v>0.5</v>
      </c>
      <c r="H15" s="13">
        <f t="shared" si="1"/>
        <v>0</v>
      </c>
      <c r="I15" s="13"/>
    </row>
    <row r="16" spans="1:9" ht="16.5" x14ac:dyDescent="0.25">
      <c r="A16" s="13">
        <f>A11-A15*$B$11</f>
        <v>6</v>
      </c>
      <c r="B16" s="13">
        <f t="shared" ref="B16:H16" si="2">B11-B15*$B$11</f>
        <v>0</v>
      </c>
      <c r="C16" s="13">
        <f t="shared" si="2"/>
        <v>1.5</v>
      </c>
      <c r="D16" s="13">
        <f t="shared" si="2"/>
        <v>2</v>
      </c>
      <c r="E16" s="13">
        <f t="shared" si="2"/>
        <v>0.5</v>
      </c>
      <c r="F16" s="13">
        <f t="shared" si="2"/>
        <v>-1</v>
      </c>
      <c r="G16" s="13">
        <f t="shared" si="2"/>
        <v>-0.5</v>
      </c>
      <c r="H16" s="19">
        <f t="shared" si="2"/>
        <v>1</v>
      </c>
      <c r="I16" s="13"/>
    </row>
    <row r="17" spans="1:10" ht="16.5" x14ac:dyDescent="0.25">
      <c r="A17" s="13">
        <f>A12-A15*$B$12</f>
        <v>-6</v>
      </c>
      <c r="B17" s="13">
        <f t="shared" ref="B17:H17" si="3">B12-B15*$B$12</f>
        <v>0</v>
      </c>
      <c r="C17" s="13">
        <f t="shared" si="3"/>
        <v>-1.5</v>
      </c>
      <c r="D17" s="13">
        <f t="shared" si="3"/>
        <v>-2</v>
      </c>
      <c r="E17" s="13">
        <f t="shared" si="3"/>
        <v>-0.5</v>
      </c>
      <c r="F17" s="13">
        <f t="shared" si="3"/>
        <v>1</v>
      </c>
      <c r="G17" s="13">
        <f t="shared" si="3"/>
        <v>1.5</v>
      </c>
      <c r="H17" s="13">
        <f t="shared" si="3"/>
        <v>0</v>
      </c>
      <c r="I17" s="13"/>
    </row>
    <row r="18" spans="1:10" ht="16.5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10" ht="16.5" x14ac:dyDescent="0.25">
      <c r="A19" s="13"/>
      <c r="B19" s="13">
        <v>10</v>
      </c>
      <c r="C19" s="13">
        <v>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/>
    </row>
    <row r="20" spans="1:10" ht="16.5" x14ac:dyDescent="0.25">
      <c r="A20" s="13">
        <f>A15-A21*$C$15</f>
        <v>10</v>
      </c>
      <c r="B20" s="17">
        <f t="shared" ref="B20:H20" si="4">B15-B21*$C$15</f>
        <v>1</v>
      </c>
      <c r="C20" s="13">
        <f t="shared" si="4"/>
        <v>0</v>
      </c>
      <c r="D20" s="13">
        <f t="shared" si="4"/>
        <v>0.33333333333333337</v>
      </c>
      <c r="E20" s="13">
        <f t="shared" si="4"/>
        <v>-0.66666666666666663</v>
      </c>
      <c r="F20" s="13">
        <f t="shared" si="4"/>
        <v>0.33333333333333331</v>
      </c>
      <c r="G20" s="13">
        <f t="shared" si="4"/>
        <v>0.66666666666666663</v>
      </c>
      <c r="H20" s="13">
        <f t="shared" si="4"/>
        <v>-0.33333333333333331</v>
      </c>
      <c r="I20" s="13"/>
    </row>
    <row r="21" spans="1:10" ht="16.5" x14ac:dyDescent="0.25">
      <c r="A21" s="13">
        <f>A16/$C$16</f>
        <v>4</v>
      </c>
      <c r="B21" s="13">
        <f t="shared" ref="B21:H21" si="5">B16/$C$16</f>
        <v>0</v>
      </c>
      <c r="C21" s="17">
        <f t="shared" si="5"/>
        <v>1</v>
      </c>
      <c r="D21" s="13">
        <f t="shared" si="5"/>
        <v>1.3333333333333333</v>
      </c>
      <c r="E21" s="13">
        <f t="shared" si="5"/>
        <v>0.33333333333333331</v>
      </c>
      <c r="F21" s="13">
        <f t="shared" si="5"/>
        <v>-0.66666666666666663</v>
      </c>
      <c r="G21" s="13">
        <f t="shared" si="5"/>
        <v>-0.33333333333333331</v>
      </c>
      <c r="H21" s="13">
        <f t="shared" si="5"/>
        <v>0.66666666666666663</v>
      </c>
      <c r="I21" s="13"/>
    </row>
    <row r="22" spans="1:10" ht="16.5" x14ac:dyDescent="0.25">
      <c r="A22" s="13">
        <f>A17-A21*$C$17</f>
        <v>0</v>
      </c>
      <c r="B22" s="13">
        <f t="shared" ref="B22:H22" si="6">B17-B21*$C$17</f>
        <v>0</v>
      </c>
      <c r="C22" s="13">
        <f t="shared" si="6"/>
        <v>0</v>
      </c>
      <c r="D22" s="13">
        <f t="shared" si="6"/>
        <v>0</v>
      </c>
      <c r="E22" s="13">
        <f t="shared" si="6"/>
        <v>0</v>
      </c>
      <c r="F22" s="13">
        <f t="shared" si="6"/>
        <v>0</v>
      </c>
      <c r="G22" s="13">
        <f t="shared" si="6"/>
        <v>1</v>
      </c>
      <c r="H22" s="13">
        <f t="shared" si="6"/>
        <v>1</v>
      </c>
      <c r="I22" s="13"/>
    </row>
    <row r="23" spans="1:10" ht="16.5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10" ht="16.5" x14ac:dyDescent="0.25">
      <c r="A24" s="13"/>
      <c r="B24" s="13">
        <v>10</v>
      </c>
      <c r="C24" s="13">
        <v>4</v>
      </c>
      <c r="D24" s="13">
        <v>0</v>
      </c>
      <c r="E24" s="13">
        <v>0</v>
      </c>
      <c r="F24" s="13">
        <v>0</v>
      </c>
      <c r="G24" s="13"/>
      <c r="H24" s="13"/>
      <c r="I24" s="13"/>
    </row>
    <row r="25" spans="1:10" ht="16.5" x14ac:dyDescent="0.25">
      <c r="A25" s="13">
        <v>10</v>
      </c>
      <c r="B25" s="19">
        <v>1</v>
      </c>
      <c r="C25" s="13">
        <v>0</v>
      </c>
      <c r="D25" s="13">
        <v>0.33333333333333337</v>
      </c>
      <c r="E25" s="13">
        <v>-0.66666666666666663</v>
      </c>
      <c r="F25" s="13">
        <v>0.33333333333333331</v>
      </c>
      <c r="G25" s="13"/>
      <c r="H25" s="13"/>
      <c r="I25" s="13"/>
    </row>
    <row r="26" spans="1:10" ht="16.5" x14ac:dyDescent="0.25">
      <c r="A26" s="13">
        <v>4</v>
      </c>
      <c r="B26" s="13">
        <v>0</v>
      </c>
      <c r="C26" s="19">
        <v>1</v>
      </c>
      <c r="D26" s="13">
        <v>1.3333333333333333</v>
      </c>
      <c r="E26" s="13">
        <v>0.33333333333333331</v>
      </c>
      <c r="F26" s="13">
        <v>-0.66666666666666663</v>
      </c>
      <c r="G26" s="13"/>
      <c r="H26" s="13"/>
      <c r="I26" s="13"/>
    </row>
    <row r="27" spans="1:10" ht="16.5" x14ac:dyDescent="0.25">
      <c r="A27" s="13">
        <v>0</v>
      </c>
      <c r="B27" s="13">
        <v>120</v>
      </c>
      <c r="C27" s="13">
        <v>160</v>
      </c>
      <c r="D27" s="13">
        <v>180</v>
      </c>
      <c r="E27" s="13">
        <v>0</v>
      </c>
      <c r="F27" s="13">
        <v>0</v>
      </c>
      <c r="G27" s="13"/>
      <c r="H27" s="13"/>
      <c r="I27" s="13"/>
    </row>
    <row r="28" spans="1:10" ht="16.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16.5" x14ac:dyDescent="0.25">
      <c r="A29" s="13"/>
      <c r="B29" s="13">
        <v>10</v>
      </c>
      <c r="C29" s="13">
        <v>4</v>
      </c>
      <c r="D29" s="13">
        <v>0</v>
      </c>
      <c r="E29" s="13">
        <v>0</v>
      </c>
      <c r="F29" s="13">
        <v>0</v>
      </c>
      <c r="G29" s="13"/>
      <c r="H29" s="13"/>
      <c r="I29" s="13"/>
      <c r="J29" s="13"/>
    </row>
    <row r="30" spans="1:10" ht="16.5" x14ac:dyDescent="0.25">
      <c r="A30" s="13">
        <v>10</v>
      </c>
      <c r="B30" s="19">
        <v>1</v>
      </c>
      <c r="C30" s="13">
        <v>0</v>
      </c>
      <c r="D30" s="13">
        <v>0.33333333333333337</v>
      </c>
      <c r="E30" s="13">
        <v>-0.66666666666666663</v>
      </c>
      <c r="F30" s="13">
        <v>0.33333333333333331</v>
      </c>
      <c r="G30" s="13"/>
      <c r="H30" s="13"/>
      <c r="I30" s="13"/>
      <c r="J30" s="13"/>
    </row>
    <row r="31" spans="1:10" ht="16.5" x14ac:dyDescent="0.25">
      <c r="A31" s="13">
        <v>4</v>
      </c>
      <c r="B31" s="13">
        <v>0</v>
      </c>
      <c r="C31" s="19">
        <v>1</v>
      </c>
      <c r="D31" s="13">
        <v>1.3333333333333333</v>
      </c>
      <c r="E31" s="13">
        <v>0.33333333333333331</v>
      </c>
      <c r="F31" s="13">
        <v>-0.66666666666666663</v>
      </c>
      <c r="G31" s="13"/>
      <c r="H31" s="13"/>
      <c r="I31" s="13"/>
      <c r="J31" s="13"/>
    </row>
    <row r="32" spans="1:10" ht="16.5" x14ac:dyDescent="0.25">
      <c r="A32" s="13">
        <f>-A25*$B$27-A26*$C$27</f>
        <v>-1840</v>
      </c>
      <c r="B32" s="13">
        <f>B27-B25*$B$27-B26*$C$27</f>
        <v>0</v>
      </c>
      <c r="C32" s="13">
        <f>C27-C25*$B$27-C26*$C$27</f>
        <v>0</v>
      </c>
      <c r="D32" s="13">
        <f>D27-D25*$B$27-D26*$C$27</f>
        <v>-73.333333333333314</v>
      </c>
      <c r="E32" s="13">
        <f>E27-E25*$B$27-E26*$C$27</f>
        <v>26.666666666666671</v>
      </c>
      <c r="F32" s="13">
        <f>F27-F25*$B$27-F26*$C$27</f>
        <v>66.666666666666657</v>
      </c>
      <c r="G32" s="13"/>
      <c r="H32" s="13"/>
      <c r="I32" s="13"/>
      <c r="J32" s="13"/>
    </row>
    <row r="33" spans="1:10" ht="16.5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16.5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16.5" x14ac:dyDescent="0.25">
      <c r="A35" s="13">
        <f t="shared" ref="A35:F35" si="7">A30-A36*$D$30</f>
        <v>9</v>
      </c>
      <c r="B35" s="19">
        <f t="shared" si="7"/>
        <v>1</v>
      </c>
      <c r="C35" s="13">
        <f t="shared" si="7"/>
        <v>-0.25</v>
      </c>
      <c r="D35" s="13">
        <f t="shared" si="7"/>
        <v>0</v>
      </c>
      <c r="E35" s="13">
        <f t="shared" si="7"/>
        <v>-0.75</v>
      </c>
      <c r="F35" s="13">
        <f t="shared" si="7"/>
        <v>0.5</v>
      </c>
      <c r="G35" s="13"/>
      <c r="H35" s="13"/>
      <c r="I35" s="13"/>
      <c r="J35" s="13"/>
    </row>
    <row r="36" spans="1:10" ht="16.5" x14ac:dyDescent="0.25">
      <c r="A36" s="13">
        <f t="shared" ref="A36:F36" si="8">A31/$D$31</f>
        <v>3</v>
      </c>
      <c r="B36" s="13">
        <f t="shared" si="8"/>
        <v>0</v>
      </c>
      <c r="C36" s="13">
        <f t="shared" si="8"/>
        <v>0.75</v>
      </c>
      <c r="D36" s="17">
        <f t="shared" si="8"/>
        <v>1</v>
      </c>
      <c r="E36" s="13">
        <f t="shared" si="8"/>
        <v>0.25</v>
      </c>
      <c r="F36" s="13">
        <f t="shared" si="8"/>
        <v>-0.5</v>
      </c>
      <c r="G36" s="13"/>
      <c r="H36" s="13"/>
      <c r="I36" s="13"/>
      <c r="J36" s="13"/>
    </row>
    <row r="37" spans="1:10" ht="16.5" x14ac:dyDescent="0.25">
      <c r="A37" s="13">
        <f t="shared" ref="A37:F37" si="9">A32-A36*$D$32</f>
        <v>-1620</v>
      </c>
      <c r="B37" s="13">
        <f t="shared" si="9"/>
        <v>0</v>
      </c>
      <c r="C37" s="13">
        <f t="shared" si="9"/>
        <v>54.999999999999986</v>
      </c>
      <c r="D37" s="13">
        <f t="shared" si="9"/>
        <v>0</v>
      </c>
      <c r="E37" s="13">
        <f t="shared" si="9"/>
        <v>45</v>
      </c>
      <c r="F37" s="13">
        <f t="shared" si="9"/>
        <v>30</v>
      </c>
      <c r="G37" s="13"/>
      <c r="H37" s="13"/>
      <c r="I37" s="13"/>
      <c r="J37" s="13"/>
    </row>
    <row r="38" spans="1:10" ht="16.5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16.5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8A10-0C25-4EF2-ABFA-9C72A8692BF0}">
  <dimension ref="C2:H67"/>
  <sheetViews>
    <sheetView zoomScale="180" zoomScaleNormal="180" workbookViewId="0">
      <selection activeCell="H3" sqref="H3"/>
    </sheetView>
  </sheetViews>
  <sheetFormatPr defaultRowHeight="13" x14ac:dyDescent="0.2"/>
  <sheetData>
    <row r="2" spans="3:8" x14ac:dyDescent="0.2">
      <c r="G2" t="s">
        <v>33</v>
      </c>
      <c r="H2">
        <v>1620</v>
      </c>
    </row>
    <row r="3" spans="3:8" x14ac:dyDescent="0.2"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3:8" x14ac:dyDescent="0.2">
      <c r="C4">
        <v>0</v>
      </c>
      <c r="D4">
        <f>120-2*C4</f>
        <v>120</v>
      </c>
      <c r="E4">
        <f>80-0.5*C4</f>
        <v>80</v>
      </c>
      <c r="F4">
        <f>60-2/3*C4</f>
        <v>60</v>
      </c>
      <c r="G4">
        <f>$H$2/18-4/3*C4</f>
        <v>90</v>
      </c>
    </row>
    <row r="5" spans="3:8" x14ac:dyDescent="0.2">
      <c r="C5">
        <v>1</v>
      </c>
      <c r="D5">
        <f t="shared" ref="D5:D67" si="0">120-2*C5</f>
        <v>118</v>
      </c>
      <c r="E5">
        <f t="shared" ref="E5:E50" si="1">80-0.5*C5</f>
        <v>79.5</v>
      </c>
      <c r="F5">
        <f t="shared" ref="F5:F50" si="2">60-2/3*C5</f>
        <v>59.333333333333336</v>
      </c>
      <c r="G5">
        <f t="shared" ref="G5:G64" si="3">$H$2/18-4/3*C5</f>
        <v>88.666666666666671</v>
      </c>
    </row>
    <row r="6" spans="3:8" x14ac:dyDescent="0.2">
      <c r="C6">
        <v>2</v>
      </c>
      <c r="D6">
        <f t="shared" si="0"/>
        <v>116</v>
      </c>
      <c r="E6">
        <f t="shared" si="1"/>
        <v>79</v>
      </c>
      <c r="F6">
        <f t="shared" si="2"/>
        <v>58.666666666666664</v>
      </c>
      <c r="G6">
        <f t="shared" si="3"/>
        <v>87.333333333333329</v>
      </c>
    </row>
    <row r="7" spans="3:8" x14ac:dyDescent="0.2">
      <c r="C7">
        <v>3</v>
      </c>
      <c r="D7">
        <f t="shared" si="0"/>
        <v>114</v>
      </c>
      <c r="E7">
        <f t="shared" si="1"/>
        <v>78.5</v>
      </c>
      <c r="F7">
        <f t="shared" si="2"/>
        <v>58</v>
      </c>
      <c r="G7">
        <f t="shared" si="3"/>
        <v>86</v>
      </c>
    </row>
    <row r="8" spans="3:8" x14ac:dyDescent="0.2">
      <c r="C8">
        <v>4</v>
      </c>
      <c r="D8">
        <f t="shared" si="0"/>
        <v>112</v>
      </c>
      <c r="E8">
        <f t="shared" si="1"/>
        <v>78</v>
      </c>
      <c r="F8">
        <f t="shared" si="2"/>
        <v>57.333333333333336</v>
      </c>
      <c r="G8">
        <f t="shared" si="3"/>
        <v>84.666666666666671</v>
      </c>
    </row>
    <row r="9" spans="3:8" x14ac:dyDescent="0.2">
      <c r="C9">
        <v>5</v>
      </c>
      <c r="D9">
        <f t="shared" si="0"/>
        <v>110</v>
      </c>
      <c r="E9">
        <f t="shared" si="1"/>
        <v>77.5</v>
      </c>
      <c r="F9">
        <f t="shared" si="2"/>
        <v>56.666666666666664</v>
      </c>
      <c r="G9">
        <f t="shared" si="3"/>
        <v>83.333333333333329</v>
      </c>
    </row>
    <row r="10" spans="3:8" x14ac:dyDescent="0.2">
      <c r="C10">
        <v>6</v>
      </c>
      <c r="D10">
        <f t="shared" si="0"/>
        <v>108</v>
      </c>
      <c r="E10">
        <f t="shared" si="1"/>
        <v>77</v>
      </c>
      <c r="F10">
        <f t="shared" si="2"/>
        <v>56</v>
      </c>
      <c r="G10">
        <f t="shared" si="3"/>
        <v>82</v>
      </c>
    </row>
    <row r="11" spans="3:8" x14ac:dyDescent="0.2">
      <c r="C11">
        <v>7</v>
      </c>
      <c r="D11">
        <f t="shared" si="0"/>
        <v>106</v>
      </c>
      <c r="E11">
        <f t="shared" si="1"/>
        <v>76.5</v>
      </c>
      <c r="F11">
        <f t="shared" si="2"/>
        <v>55.333333333333336</v>
      </c>
      <c r="G11">
        <f t="shared" si="3"/>
        <v>80.666666666666671</v>
      </c>
    </row>
    <row r="12" spans="3:8" x14ac:dyDescent="0.2">
      <c r="C12">
        <v>8</v>
      </c>
      <c r="D12">
        <f t="shared" si="0"/>
        <v>104</v>
      </c>
      <c r="E12">
        <f t="shared" si="1"/>
        <v>76</v>
      </c>
      <c r="F12">
        <f t="shared" si="2"/>
        <v>54.666666666666664</v>
      </c>
      <c r="G12">
        <f t="shared" si="3"/>
        <v>79.333333333333329</v>
      </c>
    </row>
    <row r="13" spans="3:8" x14ac:dyDescent="0.2">
      <c r="C13">
        <v>9</v>
      </c>
      <c r="D13">
        <f t="shared" si="0"/>
        <v>102</v>
      </c>
      <c r="E13">
        <f t="shared" si="1"/>
        <v>75.5</v>
      </c>
      <c r="F13">
        <f t="shared" si="2"/>
        <v>54</v>
      </c>
      <c r="G13">
        <f t="shared" si="3"/>
        <v>78</v>
      </c>
    </row>
    <row r="14" spans="3:8" x14ac:dyDescent="0.2">
      <c r="C14">
        <v>10</v>
      </c>
      <c r="D14">
        <f t="shared" si="0"/>
        <v>100</v>
      </c>
      <c r="E14">
        <f t="shared" si="1"/>
        <v>75</v>
      </c>
      <c r="F14">
        <f t="shared" si="2"/>
        <v>53.333333333333336</v>
      </c>
      <c r="G14">
        <f t="shared" si="3"/>
        <v>76.666666666666671</v>
      </c>
    </row>
    <row r="15" spans="3:8" x14ac:dyDescent="0.2">
      <c r="C15">
        <v>11</v>
      </c>
      <c r="D15">
        <f t="shared" si="0"/>
        <v>98</v>
      </c>
      <c r="E15">
        <f t="shared" si="1"/>
        <v>74.5</v>
      </c>
      <c r="F15">
        <f t="shared" si="2"/>
        <v>52.666666666666664</v>
      </c>
      <c r="G15">
        <f t="shared" si="3"/>
        <v>75.333333333333329</v>
      </c>
    </row>
    <row r="16" spans="3:8" x14ac:dyDescent="0.2">
      <c r="C16">
        <v>12</v>
      </c>
      <c r="D16">
        <f t="shared" si="0"/>
        <v>96</v>
      </c>
      <c r="E16">
        <f t="shared" si="1"/>
        <v>74</v>
      </c>
      <c r="F16">
        <f t="shared" si="2"/>
        <v>52</v>
      </c>
      <c r="G16">
        <f t="shared" si="3"/>
        <v>74</v>
      </c>
    </row>
    <row r="17" spans="3:7" x14ac:dyDescent="0.2">
      <c r="C17">
        <v>13</v>
      </c>
      <c r="D17">
        <f t="shared" si="0"/>
        <v>94</v>
      </c>
      <c r="E17">
        <f t="shared" si="1"/>
        <v>73.5</v>
      </c>
      <c r="F17">
        <f t="shared" si="2"/>
        <v>51.333333333333336</v>
      </c>
      <c r="G17">
        <f t="shared" si="3"/>
        <v>72.666666666666671</v>
      </c>
    </row>
    <row r="18" spans="3:7" x14ac:dyDescent="0.2">
      <c r="C18">
        <v>14</v>
      </c>
      <c r="D18">
        <f t="shared" si="0"/>
        <v>92</v>
      </c>
      <c r="E18">
        <f t="shared" si="1"/>
        <v>73</v>
      </c>
      <c r="F18">
        <f t="shared" si="2"/>
        <v>50.666666666666671</v>
      </c>
      <c r="G18">
        <f t="shared" si="3"/>
        <v>71.333333333333343</v>
      </c>
    </row>
    <row r="19" spans="3:7" x14ac:dyDescent="0.2">
      <c r="C19">
        <v>15</v>
      </c>
      <c r="D19">
        <f t="shared" si="0"/>
        <v>90</v>
      </c>
      <c r="E19">
        <f t="shared" si="1"/>
        <v>72.5</v>
      </c>
      <c r="F19">
        <f t="shared" si="2"/>
        <v>50</v>
      </c>
      <c r="G19">
        <f t="shared" si="3"/>
        <v>70</v>
      </c>
    </row>
    <row r="20" spans="3:7" x14ac:dyDescent="0.2">
      <c r="C20">
        <v>16</v>
      </c>
      <c r="D20">
        <f t="shared" si="0"/>
        <v>88</v>
      </c>
      <c r="E20">
        <f t="shared" si="1"/>
        <v>72</v>
      </c>
      <c r="F20">
        <f t="shared" si="2"/>
        <v>49.333333333333336</v>
      </c>
      <c r="G20">
        <f t="shared" si="3"/>
        <v>68.666666666666671</v>
      </c>
    </row>
    <row r="21" spans="3:7" x14ac:dyDescent="0.2">
      <c r="C21">
        <v>17</v>
      </c>
      <c r="D21">
        <f t="shared" si="0"/>
        <v>86</v>
      </c>
      <c r="E21">
        <f t="shared" si="1"/>
        <v>71.5</v>
      </c>
      <c r="F21">
        <f t="shared" si="2"/>
        <v>48.666666666666671</v>
      </c>
      <c r="G21">
        <f t="shared" si="3"/>
        <v>67.333333333333343</v>
      </c>
    </row>
    <row r="22" spans="3:7" x14ac:dyDescent="0.2">
      <c r="C22">
        <v>18</v>
      </c>
      <c r="D22">
        <f t="shared" si="0"/>
        <v>84</v>
      </c>
      <c r="E22">
        <f t="shared" si="1"/>
        <v>71</v>
      </c>
      <c r="F22">
        <f t="shared" si="2"/>
        <v>48</v>
      </c>
      <c r="G22">
        <f t="shared" si="3"/>
        <v>66</v>
      </c>
    </row>
    <row r="23" spans="3:7" x14ac:dyDescent="0.2">
      <c r="C23">
        <v>19</v>
      </c>
      <c r="D23">
        <f t="shared" si="0"/>
        <v>82</v>
      </c>
      <c r="E23">
        <f t="shared" si="1"/>
        <v>70.5</v>
      </c>
      <c r="F23">
        <f t="shared" si="2"/>
        <v>47.333333333333336</v>
      </c>
      <c r="G23">
        <f t="shared" si="3"/>
        <v>64.666666666666671</v>
      </c>
    </row>
    <row r="24" spans="3:7" x14ac:dyDescent="0.2">
      <c r="C24">
        <v>20</v>
      </c>
      <c r="D24">
        <f t="shared" si="0"/>
        <v>80</v>
      </c>
      <c r="E24">
        <f t="shared" si="1"/>
        <v>70</v>
      </c>
      <c r="F24">
        <f t="shared" si="2"/>
        <v>46.666666666666671</v>
      </c>
      <c r="G24">
        <f t="shared" si="3"/>
        <v>63.333333333333336</v>
      </c>
    </row>
    <row r="25" spans="3:7" x14ac:dyDescent="0.2">
      <c r="C25">
        <v>21</v>
      </c>
      <c r="D25">
        <f t="shared" si="0"/>
        <v>78</v>
      </c>
      <c r="E25">
        <f t="shared" si="1"/>
        <v>69.5</v>
      </c>
      <c r="F25">
        <f t="shared" si="2"/>
        <v>46</v>
      </c>
      <c r="G25">
        <f t="shared" si="3"/>
        <v>62</v>
      </c>
    </row>
    <row r="26" spans="3:7" x14ac:dyDescent="0.2">
      <c r="C26">
        <v>22</v>
      </c>
      <c r="D26">
        <f t="shared" si="0"/>
        <v>76</v>
      </c>
      <c r="E26">
        <f t="shared" si="1"/>
        <v>69</v>
      </c>
      <c r="F26">
        <f t="shared" si="2"/>
        <v>45.333333333333336</v>
      </c>
      <c r="G26">
        <f t="shared" si="3"/>
        <v>60.666666666666671</v>
      </c>
    </row>
    <row r="27" spans="3:7" x14ac:dyDescent="0.2">
      <c r="C27">
        <v>23</v>
      </c>
      <c r="D27">
        <f t="shared" si="0"/>
        <v>74</v>
      </c>
      <c r="E27">
        <f t="shared" si="1"/>
        <v>68.5</v>
      </c>
      <c r="F27">
        <f t="shared" si="2"/>
        <v>44.666666666666671</v>
      </c>
      <c r="G27">
        <f t="shared" si="3"/>
        <v>59.333333333333336</v>
      </c>
    </row>
    <row r="28" spans="3:7" x14ac:dyDescent="0.2">
      <c r="C28">
        <v>24</v>
      </c>
      <c r="D28">
        <f t="shared" si="0"/>
        <v>72</v>
      </c>
      <c r="E28">
        <f t="shared" si="1"/>
        <v>68</v>
      </c>
      <c r="F28">
        <f t="shared" si="2"/>
        <v>44</v>
      </c>
      <c r="G28">
        <f t="shared" si="3"/>
        <v>58</v>
      </c>
    </row>
    <row r="29" spans="3:7" x14ac:dyDescent="0.2">
      <c r="C29">
        <v>25</v>
      </c>
      <c r="D29">
        <f t="shared" si="0"/>
        <v>70</v>
      </c>
      <c r="E29">
        <f t="shared" si="1"/>
        <v>67.5</v>
      </c>
      <c r="F29">
        <f t="shared" si="2"/>
        <v>43.333333333333336</v>
      </c>
      <c r="G29">
        <f t="shared" si="3"/>
        <v>56.666666666666671</v>
      </c>
    </row>
    <row r="30" spans="3:7" x14ac:dyDescent="0.2">
      <c r="C30">
        <v>26</v>
      </c>
      <c r="D30">
        <f t="shared" si="0"/>
        <v>68</v>
      </c>
      <c r="E30">
        <f t="shared" si="1"/>
        <v>67</v>
      </c>
      <c r="F30">
        <f t="shared" si="2"/>
        <v>42.666666666666671</v>
      </c>
      <c r="G30">
        <f t="shared" si="3"/>
        <v>55.333333333333336</v>
      </c>
    </row>
    <row r="31" spans="3:7" x14ac:dyDescent="0.2">
      <c r="C31">
        <v>27</v>
      </c>
      <c r="D31">
        <f t="shared" si="0"/>
        <v>66</v>
      </c>
      <c r="E31">
        <f t="shared" si="1"/>
        <v>66.5</v>
      </c>
      <c r="F31">
        <f t="shared" si="2"/>
        <v>42</v>
      </c>
      <c r="G31">
        <f t="shared" si="3"/>
        <v>54</v>
      </c>
    </row>
    <row r="32" spans="3:7" x14ac:dyDescent="0.2">
      <c r="C32">
        <v>28</v>
      </c>
      <c r="D32">
        <f t="shared" si="0"/>
        <v>64</v>
      </c>
      <c r="E32">
        <f t="shared" si="1"/>
        <v>66</v>
      </c>
      <c r="F32">
        <f t="shared" si="2"/>
        <v>41.333333333333336</v>
      </c>
      <c r="G32">
        <f t="shared" si="3"/>
        <v>52.666666666666671</v>
      </c>
    </row>
    <row r="33" spans="3:7" x14ac:dyDescent="0.2">
      <c r="C33">
        <v>29</v>
      </c>
      <c r="D33">
        <f t="shared" si="0"/>
        <v>62</v>
      </c>
      <c r="E33">
        <f t="shared" si="1"/>
        <v>65.5</v>
      </c>
      <c r="F33">
        <f t="shared" si="2"/>
        <v>40.666666666666671</v>
      </c>
      <c r="G33">
        <f t="shared" si="3"/>
        <v>51.333333333333336</v>
      </c>
    </row>
    <row r="34" spans="3:7" x14ac:dyDescent="0.2">
      <c r="C34">
        <v>30</v>
      </c>
      <c r="D34">
        <f t="shared" si="0"/>
        <v>60</v>
      </c>
      <c r="E34">
        <f t="shared" si="1"/>
        <v>65</v>
      </c>
      <c r="F34">
        <f t="shared" si="2"/>
        <v>40</v>
      </c>
      <c r="G34">
        <f t="shared" si="3"/>
        <v>50</v>
      </c>
    </row>
    <row r="35" spans="3:7" x14ac:dyDescent="0.2">
      <c r="C35">
        <v>31</v>
      </c>
      <c r="D35">
        <f t="shared" si="0"/>
        <v>58</v>
      </c>
      <c r="E35">
        <f t="shared" si="1"/>
        <v>64.5</v>
      </c>
      <c r="F35">
        <f t="shared" si="2"/>
        <v>39.333333333333336</v>
      </c>
      <c r="G35">
        <f t="shared" si="3"/>
        <v>48.666666666666671</v>
      </c>
    </row>
    <row r="36" spans="3:7" x14ac:dyDescent="0.2">
      <c r="C36">
        <v>32</v>
      </c>
      <c r="D36">
        <f t="shared" si="0"/>
        <v>56</v>
      </c>
      <c r="E36">
        <f t="shared" si="1"/>
        <v>64</v>
      </c>
      <c r="F36">
        <f t="shared" si="2"/>
        <v>38.666666666666671</v>
      </c>
      <c r="G36">
        <f t="shared" si="3"/>
        <v>47.333333333333336</v>
      </c>
    </row>
    <row r="37" spans="3:7" x14ac:dyDescent="0.2">
      <c r="C37">
        <v>33</v>
      </c>
      <c r="D37">
        <f t="shared" si="0"/>
        <v>54</v>
      </c>
      <c r="E37">
        <f t="shared" si="1"/>
        <v>63.5</v>
      </c>
      <c r="F37">
        <f t="shared" si="2"/>
        <v>38</v>
      </c>
      <c r="G37">
        <f t="shared" si="3"/>
        <v>46</v>
      </c>
    </row>
    <row r="38" spans="3:7" x14ac:dyDescent="0.2">
      <c r="C38">
        <v>34</v>
      </c>
      <c r="D38">
        <f t="shared" si="0"/>
        <v>52</v>
      </c>
      <c r="E38">
        <f t="shared" si="1"/>
        <v>63</v>
      </c>
      <c r="F38">
        <f t="shared" si="2"/>
        <v>37.333333333333336</v>
      </c>
      <c r="G38">
        <f t="shared" si="3"/>
        <v>44.666666666666671</v>
      </c>
    </row>
    <row r="39" spans="3:7" x14ac:dyDescent="0.2">
      <c r="C39">
        <v>35</v>
      </c>
      <c r="D39">
        <f t="shared" si="0"/>
        <v>50</v>
      </c>
      <c r="E39">
        <f t="shared" si="1"/>
        <v>62.5</v>
      </c>
      <c r="F39">
        <f t="shared" si="2"/>
        <v>36.666666666666671</v>
      </c>
      <c r="G39">
        <f t="shared" si="3"/>
        <v>43.333333333333336</v>
      </c>
    </row>
    <row r="40" spans="3:7" x14ac:dyDescent="0.2">
      <c r="C40">
        <v>36</v>
      </c>
      <c r="D40">
        <f t="shared" si="0"/>
        <v>48</v>
      </c>
      <c r="E40">
        <f t="shared" si="1"/>
        <v>62</v>
      </c>
      <c r="F40">
        <f t="shared" si="2"/>
        <v>36</v>
      </c>
      <c r="G40">
        <f t="shared" si="3"/>
        <v>42</v>
      </c>
    </row>
    <row r="41" spans="3:7" x14ac:dyDescent="0.2">
      <c r="C41">
        <v>37</v>
      </c>
      <c r="D41">
        <f t="shared" si="0"/>
        <v>46</v>
      </c>
      <c r="E41">
        <f t="shared" si="1"/>
        <v>61.5</v>
      </c>
      <c r="F41">
        <f t="shared" si="2"/>
        <v>35.333333333333336</v>
      </c>
      <c r="G41">
        <f t="shared" si="3"/>
        <v>40.666666666666671</v>
      </c>
    </row>
    <row r="42" spans="3:7" x14ac:dyDescent="0.2">
      <c r="C42">
        <v>38</v>
      </c>
      <c r="D42">
        <f t="shared" si="0"/>
        <v>44</v>
      </c>
      <c r="E42">
        <f t="shared" si="1"/>
        <v>61</v>
      </c>
      <c r="F42">
        <f t="shared" si="2"/>
        <v>34.666666666666671</v>
      </c>
      <c r="G42">
        <f t="shared" si="3"/>
        <v>39.333333333333336</v>
      </c>
    </row>
    <row r="43" spans="3:7" x14ac:dyDescent="0.2">
      <c r="C43">
        <v>39</v>
      </c>
      <c r="D43">
        <f t="shared" si="0"/>
        <v>42</v>
      </c>
      <c r="E43">
        <f t="shared" si="1"/>
        <v>60.5</v>
      </c>
      <c r="F43">
        <f t="shared" si="2"/>
        <v>34</v>
      </c>
      <c r="G43">
        <f t="shared" si="3"/>
        <v>38</v>
      </c>
    </row>
    <row r="44" spans="3:7" x14ac:dyDescent="0.2">
      <c r="C44">
        <v>40</v>
      </c>
      <c r="D44">
        <f t="shared" si="0"/>
        <v>40</v>
      </c>
      <c r="E44">
        <f t="shared" si="1"/>
        <v>60</v>
      </c>
      <c r="F44">
        <f t="shared" si="2"/>
        <v>33.333333333333336</v>
      </c>
      <c r="G44">
        <f t="shared" si="3"/>
        <v>36.666666666666671</v>
      </c>
    </row>
    <row r="45" spans="3:7" x14ac:dyDescent="0.2">
      <c r="C45">
        <v>41</v>
      </c>
      <c r="D45">
        <f t="shared" si="0"/>
        <v>38</v>
      </c>
      <c r="E45">
        <f t="shared" si="1"/>
        <v>59.5</v>
      </c>
      <c r="F45">
        <f t="shared" si="2"/>
        <v>32.666666666666671</v>
      </c>
      <c r="G45">
        <f t="shared" si="3"/>
        <v>35.333333333333336</v>
      </c>
    </row>
    <row r="46" spans="3:7" x14ac:dyDescent="0.2">
      <c r="C46">
        <v>42</v>
      </c>
      <c r="D46">
        <f t="shared" si="0"/>
        <v>36</v>
      </c>
      <c r="E46">
        <f t="shared" si="1"/>
        <v>59</v>
      </c>
      <c r="F46">
        <f t="shared" si="2"/>
        <v>32</v>
      </c>
      <c r="G46">
        <f t="shared" si="3"/>
        <v>34</v>
      </c>
    </row>
    <row r="47" spans="3:7" x14ac:dyDescent="0.2">
      <c r="C47">
        <v>43</v>
      </c>
      <c r="D47">
        <f t="shared" si="0"/>
        <v>34</v>
      </c>
      <c r="E47">
        <f t="shared" si="1"/>
        <v>58.5</v>
      </c>
      <c r="F47">
        <f t="shared" si="2"/>
        <v>31.333333333333336</v>
      </c>
      <c r="G47">
        <f t="shared" si="3"/>
        <v>32.666666666666671</v>
      </c>
    </row>
    <row r="48" spans="3:7" x14ac:dyDescent="0.2">
      <c r="C48">
        <v>44</v>
      </c>
      <c r="D48">
        <f t="shared" si="0"/>
        <v>32</v>
      </c>
      <c r="E48">
        <f t="shared" si="1"/>
        <v>58</v>
      </c>
      <c r="F48">
        <f t="shared" si="2"/>
        <v>30.666666666666668</v>
      </c>
      <c r="G48">
        <f t="shared" si="3"/>
        <v>31.333333333333336</v>
      </c>
    </row>
    <row r="49" spans="3:7" x14ac:dyDescent="0.2">
      <c r="C49">
        <v>45</v>
      </c>
      <c r="D49">
        <f t="shared" si="0"/>
        <v>30</v>
      </c>
      <c r="E49">
        <f t="shared" si="1"/>
        <v>57.5</v>
      </c>
      <c r="F49">
        <f t="shared" si="2"/>
        <v>30</v>
      </c>
      <c r="G49">
        <f t="shared" si="3"/>
        <v>30</v>
      </c>
    </row>
    <row r="50" spans="3:7" x14ac:dyDescent="0.2">
      <c r="C50">
        <v>46</v>
      </c>
      <c r="D50">
        <f t="shared" si="0"/>
        <v>28</v>
      </c>
      <c r="E50">
        <f t="shared" si="1"/>
        <v>57</v>
      </c>
      <c r="F50">
        <f t="shared" si="2"/>
        <v>29.333333333333336</v>
      </c>
      <c r="G50">
        <f t="shared" si="3"/>
        <v>28.666666666666671</v>
      </c>
    </row>
    <row r="51" spans="3:7" x14ac:dyDescent="0.2">
      <c r="C51">
        <v>47</v>
      </c>
      <c r="D51">
        <f t="shared" si="0"/>
        <v>26</v>
      </c>
      <c r="E51">
        <f t="shared" ref="E51:E67" si="4">80-0.5*C51</f>
        <v>56.5</v>
      </c>
      <c r="F51">
        <f t="shared" ref="F51:F67" si="5">60-2/3*C51</f>
        <v>28.666666666666668</v>
      </c>
      <c r="G51">
        <f t="shared" si="3"/>
        <v>27.333333333333336</v>
      </c>
    </row>
    <row r="52" spans="3:7" x14ac:dyDescent="0.2">
      <c r="C52">
        <v>48</v>
      </c>
      <c r="D52">
        <f t="shared" si="0"/>
        <v>24</v>
      </c>
      <c r="E52">
        <f t="shared" si="4"/>
        <v>56</v>
      </c>
      <c r="F52">
        <f t="shared" si="5"/>
        <v>28</v>
      </c>
      <c r="G52">
        <f t="shared" si="3"/>
        <v>26</v>
      </c>
    </row>
    <row r="53" spans="3:7" x14ac:dyDescent="0.2">
      <c r="C53">
        <v>49</v>
      </c>
      <c r="D53">
        <f t="shared" si="0"/>
        <v>22</v>
      </c>
      <c r="E53">
        <f t="shared" si="4"/>
        <v>55.5</v>
      </c>
      <c r="F53">
        <f t="shared" si="5"/>
        <v>27.333333333333336</v>
      </c>
      <c r="G53">
        <f t="shared" si="3"/>
        <v>24.666666666666671</v>
      </c>
    </row>
    <row r="54" spans="3:7" x14ac:dyDescent="0.2">
      <c r="C54">
        <v>50</v>
      </c>
      <c r="D54">
        <f t="shared" si="0"/>
        <v>20</v>
      </c>
      <c r="E54">
        <f t="shared" si="4"/>
        <v>55</v>
      </c>
      <c r="F54">
        <f t="shared" si="5"/>
        <v>26.666666666666671</v>
      </c>
      <c r="G54">
        <f t="shared" si="3"/>
        <v>23.333333333333343</v>
      </c>
    </row>
    <row r="55" spans="3:7" x14ac:dyDescent="0.2">
      <c r="C55">
        <v>51</v>
      </c>
      <c r="D55">
        <f t="shared" si="0"/>
        <v>18</v>
      </c>
      <c r="E55">
        <f t="shared" si="4"/>
        <v>54.5</v>
      </c>
      <c r="F55">
        <f t="shared" si="5"/>
        <v>26</v>
      </c>
      <c r="G55">
        <f t="shared" si="3"/>
        <v>22</v>
      </c>
    </row>
    <row r="56" spans="3:7" x14ac:dyDescent="0.2">
      <c r="C56">
        <v>52</v>
      </c>
      <c r="D56">
        <f t="shared" si="0"/>
        <v>16</v>
      </c>
      <c r="E56">
        <f t="shared" si="4"/>
        <v>54</v>
      </c>
      <c r="F56">
        <f t="shared" si="5"/>
        <v>25.333333333333336</v>
      </c>
      <c r="G56">
        <f t="shared" si="3"/>
        <v>20.666666666666671</v>
      </c>
    </row>
    <row r="57" spans="3:7" x14ac:dyDescent="0.2">
      <c r="C57">
        <v>53</v>
      </c>
      <c r="D57">
        <f t="shared" si="0"/>
        <v>14</v>
      </c>
      <c r="E57">
        <f t="shared" si="4"/>
        <v>53.5</v>
      </c>
      <c r="F57">
        <f t="shared" si="5"/>
        <v>24.666666666666671</v>
      </c>
      <c r="G57">
        <f t="shared" si="3"/>
        <v>19.333333333333343</v>
      </c>
    </row>
    <row r="58" spans="3:7" x14ac:dyDescent="0.2">
      <c r="C58">
        <v>54</v>
      </c>
      <c r="D58">
        <f t="shared" si="0"/>
        <v>12</v>
      </c>
      <c r="E58">
        <f t="shared" si="4"/>
        <v>53</v>
      </c>
      <c r="F58">
        <f t="shared" si="5"/>
        <v>24</v>
      </c>
      <c r="G58">
        <f t="shared" si="3"/>
        <v>18</v>
      </c>
    </row>
    <row r="59" spans="3:7" x14ac:dyDescent="0.2">
      <c r="C59">
        <v>55</v>
      </c>
      <c r="D59">
        <f t="shared" si="0"/>
        <v>10</v>
      </c>
      <c r="E59">
        <f t="shared" si="4"/>
        <v>52.5</v>
      </c>
      <c r="F59">
        <f t="shared" si="5"/>
        <v>23.333333333333336</v>
      </c>
      <c r="G59">
        <f t="shared" si="3"/>
        <v>16.666666666666671</v>
      </c>
    </row>
    <row r="60" spans="3:7" x14ac:dyDescent="0.2">
      <c r="C60">
        <v>56</v>
      </c>
      <c r="D60">
        <f t="shared" si="0"/>
        <v>8</v>
      </c>
      <c r="E60">
        <f t="shared" si="4"/>
        <v>52</v>
      </c>
      <c r="F60">
        <f t="shared" si="5"/>
        <v>22.666666666666671</v>
      </c>
      <c r="G60">
        <f t="shared" si="3"/>
        <v>15.333333333333343</v>
      </c>
    </row>
    <row r="61" spans="3:7" x14ac:dyDescent="0.2">
      <c r="C61">
        <v>57</v>
      </c>
      <c r="D61">
        <f t="shared" si="0"/>
        <v>6</v>
      </c>
      <c r="E61">
        <f t="shared" si="4"/>
        <v>51.5</v>
      </c>
      <c r="F61">
        <f t="shared" si="5"/>
        <v>22</v>
      </c>
      <c r="G61">
        <f t="shared" si="3"/>
        <v>14</v>
      </c>
    </row>
    <row r="62" spans="3:7" x14ac:dyDescent="0.2">
      <c r="C62">
        <v>58</v>
      </c>
      <c r="D62">
        <f t="shared" si="0"/>
        <v>4</v>
      </c>
      <c r="E62">
        <f t="shared" si="4"/>
        <v>51</v>
      </c>
      <c r="F62">
        <f t="shared" si="5"/>
        <v>21.333333333333336</v>
      </c>
      <c r="G62">
        <f t="shared" si="3"/>
        <v>12.666666666666671</v>
      </c>
    </row>
    <row r="63" spans="3:7" x14ac:dyDescent="0.2">
      <c r="C63">
        <v>59</v>
      </c>
      <c r="D63">
        <f t="shared" si="0"/>
        <v>2</v>
      </c>
      <c r="E63">
        <f t="shared" si="4"/>
        <v>50.5</v>
      </c>
      <c r="F63">
        <f t="shared" si="5"/>
        <v>20.666666666666671</v>
      </c>
      <c r="G63">
        <f t="shared" si="3"/>
        <v>11.333333333333343</v>
      </c>
    </row>
    <row r="64" spans="3:7" x14ac:dyDescent="0.2">
      <c r="C64">
        <v>60</v>
      </c>
      <c r="D64">
        <f t="shared" si="0"/>
        <v>0</v>
      </c>
      <c r="E64">
        <f t="shared" si="4"/>
        <v>50</v>
      </c>
      <c r="F64">
        <f t="shared" si="5"/>
        <v>20</v>
      </c>
      <c r="G64">
        <f t="shared" si="3"/>
        <v>10</v>
      </c>
    </row>
    <row r="65" spans="3:6" x14ac:dyDescent="0.2">
      <c r="C65">
        <v>61</v>
      </c>
      <c r="D65">
        <f t="shared" si="0"/>
        <v>-2</v>
      </c>
      <c r="E65">
        <f t="shared" si="4"/>
        <v>49.5</v>
      </c>
      <c r="F65">
        <f t="shared" si="5"/>
        <v>19.333333333333336</v>
      </c>
    </row>
    <row r="66" spans="3:6" x14ac:dyDescent="0.2">
      <c r="C66">
        <v>62</v>
      </c>
      <c r="D66">
        <f t="shared" si="0"/>
        <v>-4</v>
      </c>
      <c r="E66">
        <f t="shared" si="4"/>
        <v>49</v>
      </c>
      <c r="F66">
        <f t="shared" si="5"/>
        <v>18.666666666666671</v>
      </c>
    </row>
    <row r="67" spans="3:6" x14ac:dyDescent="0.2">
      <c r="C67">
        <v>63</v>
      </c>
      <c r="D67">
        <f t="shared" si="0"/>
        <v>-6</v>
      </c>
      <c r="E67">
        <f t="shared" si="4"/>
        <v>48.5</v>
      </c>
      <c r="F67">
        <f t="shared" si="5"/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解説</vt:lpstr>
      <vt:lpstr>主問題</vt:lpstr>
      <vt:lpstr>双対問題</vt:lpstr>
      <vt:lpstr>掃き出し</vt:lpstr>
      <vt:lpstr>掃き出しD</vt:lpstr>
      <vt:lpstr>Sheet1</vt:lpstr>
      <vt:lpstr>主問題!Print_Area</vt:lpstr>
    </vt:vector>
  </TitlesOfParts>
  <Manager/>
  <Company>青山学院大学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profile</dc:creator>
  <cp:keywords/>
  <dc:description/>
  <cp:lastModifiedBy>出羽　諒成</cp:lastModifiedBy>
  <cp:revision/>
  <dcterms:created xsi:type="dcterms:W3CDTF">1999-06-11T07:25:52Z</dcterms:created>
  <dcterms:modified xsi:type="dcterms:W3CDTF">2024-11-12T07:26:01Z</dcterms:modified>
  <cp:category/>
  <cp:contentStatus/>
</cp:coreProperties>
</file>