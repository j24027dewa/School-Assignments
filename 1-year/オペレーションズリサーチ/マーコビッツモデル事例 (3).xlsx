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24027\Downloads\"/>
    </mc:Choice>
  </mc:AlternateContent>
  <xr:revisionPtr revIDLastSave="0" documentId="13_ncr:1_{68520F90-05CD-4D67-A3C6-8E92B415DE15}" xr6:coauthVersionLast="36" xr6:coauthVersionMax="47" xr10:uidLastSave="{00000000-0000-0000-0000-000000000000}"/>
  <bookViews>
    <workbookView xWindow="0" yWindow="0" windowWidth="19200" windowHeight="8780" activeTab="1" xr2:uid="{00000000-000D-0000-FFFF-FFFF00000000}"/>
  </bookViews>
  <sheets>
    <sheet name="data" sheetId="1" r:id="rId1"/>
    <sheet name="リスク最小化" sheetId="2" r:id="rId2"/>
  </sheets>
  <definedNames>
    <definedName name="solver_adj" localSheetId="0" hidden="1">data!$D$7:$D$9</definedName>
    <definedName name="solver_adj" localSheetId="1" hidden="1">リスク最小化!$D$7:$D$9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data!$D$10</definedName>
    <definedName name="solver_lhs1" localSheetId="1" hidden="1">リスク最小化!$D$10</definedName>
    <definedName name="solver_lhs2" localSheetId="0" hidden="1">data!$D$12</definedName>
    <definedName name="solver_lhs2" localSheetId="1" hidden="1">リスク最小化!$B$10</definedName>
    <definedName name="solver_lhs3" localSheetId="0" hidden="1">data!$L$4</definedName>
    <definedName name="solver_lhs3" localSheetId="1" hidden="1">リスク最小化!$D$10</definedName>
    <definedName name="solver_lhs4" localSheetId="0" hidden="1">data!$L$4</definedName>
    <definedName name="solver_lhs4" localSheetId="1" hidden="1">リスク最小化!$D$12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data!$D$11</definedName>
    <definedName name="solver_opt" localSheetId="1" hidden="1">リスク最小化!$D$11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2</definedName>
    <definedName name="solver_rel2" localSheetId="1" hidden="1">1</definedName>
    <definedName name="solver_rel3" localSheetId="0" hidden="1">1</definedName>
    <definedName name="solver_rel3" localSheetId="1" hidden="1">2</definedName>
    <definedName name="solver_rel4" localSheetId="0" hidden="1">1</definedName>
    <definedName name="solver_rel4" localSheetId="1" hidden="1">2</definedName>
    <definedName name="solver_rhs1" localSheetId="0" hidden="1">data!$L$3</definedName>
    <definedName name="solver_rhs1" localSheetId="1" hidden="1">リスク最小化!$F$10</definedName>
    <definedName name="solver_rhs2" localSheetId="0" hidden="1">data!$C$12</definedName>
    <definedName name="solver_rhs2" localSheetId="1" hidden="1">リスク最小化!$D$10</definedName>
    <definedName name="solver_rhs3" localSheetId="0" hidden="1">data!$D$10</definedName>
    <definedName name="solver_rhs3" localSheetId="1" hidden="1">1.5</definedName>
    <definedName name="solver_rhs4" localSheetId="0" hidden="1">data!$D$10</definedName>
    <definedName name="solver_rhs4" localSheetId="1" hidden="1">リスク最小化!$C$12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2" l="1"/>
  <c r="D10" i="1"/>
  <c r="D12" i="2"/>
  <c r="M3" i="2"/>
  <c r="M4" i="2"/>
  <c r="M2" i="2"/>
  <c r="E5" i="2"/>
  <c r="C5" i="2"/>
  <c r="D5" i="2"/>
  <c r="F5" i="2"/>
  <c r="G5" i="2"/>
  <c r="H5" i="2"/>
  <c r="I5" i="2"/>
  <c r="J5" i="2"/>
  <c r="K5" i="2"/>
  <c r="B5" i="2"/>
  <c r="L3" i="2"/>
  <c r="L4" i="2"/>
  <c r="L2" i="2"/>
  <c r="B10" i="2" s="1"/>
  <c r="D10" i="2" l="1"/>
  <c r="F10" i="2"/>
  <c r="M5" i="2"/>
  <c r="D11" i="2" s="1"/>
  <c r="C5" i="1" l="1"/>
  <c r="D5" i="1"/>
  <c r="E5" i="1"/>
  <c r="F5" i="1"/>
  <c r="G5" i="1"/>
  <c r="H5" i="1"/>
  <c r="I5" i="1"/>
  <c r="J5" i="1"/>
  <c r="K5" i="1"/>
  <c r="B5" i="1"/>
  <c r="M3" i="1"/>
  <c r="M4" i="1"/>
  <c r="M2" i="1"/>
  <c r="L3" i="1"/>
  <c r="L4" i="1"/>
  <c r="L2" i="1"/>
  <c r="D12" i="1"/>
  <c r="L5" i="1" l="1"/>
  <c r="M5" i="1"/>
  <c r="D11" i="1" s="1"/>
</calcChain>
</file>

<file path=xl/sharedStrings.xml><?xml version="1.0" encoding="utf-8"?>
<sst xmlns="http://schemas.openxmlformats.org/spreadsheetml/2006/main" count="34" uniqueCount="18">
  <si>
    <t>平均</t>
    <rPh sb="0" eb="2">
      <t>ヘイキン</t>
    </rPh>
    <phoneticPr fontId="1"/>
  </si>
  <si>
    <t>分散</t>
    <rPh sb="0" eb="2">
      <t>ブンサン</t>
    </rPh>
    <phoneticPr fontId="1"/>
  </si>
  <si>
    <t>A</t>
    <phoneticPr fontId="1"/>
  </si>
  <si>
    <t>B</t>
    <phoneticPr fontId="1"/>
  </si>
  <si>
    <t>C</t>
    <phoneticPr fontId="1"/>
  </si>
  <si>
    <t>分配比</t>
    <rPh sb="0" eb="2">
      <t>ブンパイ</t>
    </rPh>
    <rPh sb="2" eb="3">
      <t>ヒ</t>
    </rPh>
    <phoneticPr fontId="1"/>
  </si>
  <si>
    <t>有名大手家電メーカ</t>
    <rPh sb="0" eb="2">
      <t>ユウメイ</t>
    </rPh>
    <rPh sb="2" eb="4">
      <t>オオテ</t>
    </rPh>
    <rPh sb="4" eb="6">
      <t>カデン</t>
    </rPh>
    <phoneticPr fontId="1"/>
  </si>
  <si>
    <t>最近成長のアパレル</t>
    <rPh sb="0" eb="2">
      <t>サイキン</t>
    </rPh>
    <rPh sb="2" eb="4">
      <t>セイチョウ</t>
    </rPh>
    <phoneticPr fontId="1"/>
  </si>
  <si>
    <t>放送局</t>
    <rPh sb="0" eb="3">
      <t>ホウソウキョク</t>
    </rPh>
    <phoneticPr fontId="1"/>
  </si>
  <si>
    <t>期待値</t>
    <rPh sb="0" eb="3">
      <t>キタイチ</t>
    </rPh>
    <phoneticPr fontId="1"/>
  </si>
  <si>
    <t>一番人気</t>
    <rPh sb="0" eb="2">
      <t>イチバン</t>
    </rPh>
    <rPh sb="2" eb="4">
      <t>ニンキ</t>
    </rPh>
    <phoneticPr fontId="1"/>
  </si>
  <si>
    <t>二番人気</t>
    <rPh sb="0" eb="2">
      <t>ニバン</t>
    </rPh>
    <rPh sb="2" eb="4">
      <t>ニンキ</t>
    </rPh>
    <phoneticPr fontId="1"/>
  </si>
  <si>
    <t>三番人気</t>
    <rPh sb="0" eb="2">
      <t>サンバン</t>
    </rPh>
    <rPh sb="2" eb="4">
      <t>ニンキ</t>
    </rPh>
    <phoneticPr fontId="1"/>
  </si>
  <si>
    <t xml:space="preserve"> </t>
    <phoneticPr fontId="1"/>
  </si>
  <si>
    <t>≦</t>
    <phoneticPr fontId="1"/>
  </si>
  <si>
    <t>利益率</t>
    <rPh sb="0" eb="3">
      <t>リエキリツ</t>
    </rPh>
    <phoneticPr fontId="1"/>
  </si>
  <si>
    <t>リスク</t>
    <phoneticPr fontId="1"/>
  </si>
  <si>
    <t>分配比</t>
    <rPh sb="0" eb="2">
      <t>ブンパイ</t>
    </rPh>
    <rPh sb="2" eb="3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</si>
</sst>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176" fontId="0" fillId="3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data!$G$11:$G$17</c:f>
              <c:numCache>
                <c:formatCode>General</c:formatCode>
                <c:ptCount val="7"/>
                <c:pt idx="0">
                  <c:v>1.03</c:v>
                </c:pt>
                <c:pt idx="1">
                  <c:v>1.0309999999999999</c:v>
                </c:pt>
                <c:pt idx="2">
                  <c:v>1.032</c:v>
                </c:pt>
                <c:pt idx="3">
                  <c:v>1.0329999999999999</c:v>
                </c:pt>
                <c:pt idx="4">
                  <c:v>1.034</c:v>
                </c:pt>
                <c:pt idx="5">
                  <c:v>1.0349999999999999</c:v>
                </c:pt>
                <c:pt idx="6">
                  <c:v>1.036</c:v>
                </c:pt>
              </c:numCache>
            </c:numRef>
          </c:xVal>
          <c:yVal>
            <c:numRef>
              <c:f>data!$H$11:$H$17</c:f>
              <c:numCache>
                <c:formatCode>General</c:formatCode>
                <c:ptCount val="7"/>
                <c:pt idx="0">
                  <c:v>8.0808379109379477E-4</c:v>
                </c:pt>
                <c:pt idx="1">
                  <c:v>9.4432152599573495E-4</c:v>
                </c:pt>
                <c:pt idx="2">
                  <c:v>1.0986408229934337E-3</c:v>
                </c:pt>
                <c:pt idx="3">
                  <c:v>1.2710416845992615E-3</c:v>
                </c:pt>
                <c:pt idx="4">
                  <c:v>1.6858260223460095E-3</c:v>
                </c:pt>
                <c:pt idx="5">
                  <c:v>9.3419447877795617E-3</c:v>
                </c:pt>
                <c:pt idx="6">
                  <c:v>2.753777777777798E-2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56-4B3C-AFF4-4D2C77A66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325584"/>
        <c:axId val="1400333744"/>
      </c:scatterChart>
      <c:valAx>
        <c:axId val="140032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0333744"/>
        <c:crosses val="autoZero"/>
        <c:crossBetween val="midCat"/>
      </c:valAx>
      <c:valAx>
        <c:axId val="140033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03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data!$G$14:$G$17</c:f>
              <c:numCache>
                <c:formatCode>General</c:formatCode>
                <c:ptCount val="4"/>
                <c:pt idx="0">
                  <c:v>1.0329999999999999</c:v>
                </c:pt>
                <c:pt idx="1">
                  <c:v>1.034</c:v>
                </c:pt>
                <c:pt idx="2">
                  <c:v>1.0349999999999999</c:v>
                </c:pt>
                <c:pt idx="3">
                  <c:v>1.036</c:v>
                </c:pt>
              </c:numCache>
            </c:numRef>
          </c:xVal>
          <c:yVal>
            <c:numRef>
              <c:f>data!$H$14:$H$17</c:f>
              <c:numCache>
                <c:formatCode>General</c:formatCode>
                <c:ptCount val="4"/>
                <c:pt idx="0">
                  <c:v>1.2710416845992615E-3</c:v>
                </c:pt>
                <c:pt idx="1">
                  <c:v>1.6858260223460095E-3</c:v>
                </c:pt>
                <c:pt idx="2">
                  <c:v>9.3419447877795617E-3</c:v>
                </c:pt>
                <c:pt idx="3">
                  <c:v>2.753777777777798E-2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EB-47D0-AC4E-314FCB2D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331824"/>
        <c:axId val="1400325584"/>
      </c:scatterChart>
      <c:valAx>
        <c:axId val="140033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0325584"/>
        <c:crosses val="autoZero"/>
        <c:crossBetween val="midCat"/>
      </c:valAx>
      <c:valAx>
        <c:axId val="140032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033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data!$B$5:$K$5</c:f>
              <c:numCache>
                <c:formatCode>General</c:formatCode>
                <c:ptCount val="10"/>
                <c:pt idx="0">
                  <c:v>1.0316442137586894</c:v>
                </c:pt>
                <c:pt idx="1">
                  <c:v>1.025847934912699</c:v>
                </c:pt>
                <c:pt idx="2">
                  <c:v>1.0479564495625127</c:v>
                </c:pt>
                <c:pt idx="3">
                  <c:v>1.0219218290694059</c:v>
                </c:pt>
                <c:pt idx="4">
                  <c:v>0.9873867280098958</c:v>
                </c:pt>
                <c:pt idx="5">
                  <c:v>1.0135639203628006</c:v>
                </c:pt>
                <c:pt idx="6">
                  <c:v>1.0406234925959654</c:v>
                </c:pt>
                <c:pt idx="7">
                  <c:v>1.0332437334182598</c:v>
                </c:pt>
                <c:pt idx="8">
                  <c:v>1.030985685010398</c:v>
                </c:pt>
                <c:pt idx="9">
                  <c:v>0.99648985782250621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A-45A5-B470-F449D0310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287151"/>
        <c:axId val="307376047"/>
      </c:lineChart>
      <c:catAx>
        <c:axId val="31028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7376047"/>
        <c:crosses val="autoZero"/>
        <c:auto val="1"/>
        <c:lblAlgn val="ctr"/>
        <c:lblOffset val="100"/>
        <c:noMultiLvlLbl val="0"/>
      </c:catAx>
      <c:valAx>
        <c:axId val="307376047"/>
        <c:scaling>
          <c:orientation val="minMax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028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リスク最小化!$C$30:$U$30</c:f>
              <c:numCache>
                <c:formatCode>0.00_ </c:formatCode>
                <c:ptCount val="19"/>
                <c:pt idx="0">
                  <c:v>1.0999999853161362</c:v>
                </c:pt>
                <c:pt idx="1">
                  <c:v>1.1499999875328046</c:v>
                </c:pt>
                <c:pt idx="2">
                  <c:v>1.2000000006950919</c:v>
                </c:pt>
                <c:pt idx="3">
                  <c:v>1.2500011997482174</c:v>
                </c:pt>
                <c:pt idx="4">
                  <c:v>1.3000000007137587</c:v>
                </c:pt>
                <c:pt idx="5">
                  <c:v>1.3499999995851137</c:v>
                </c:pt>
                <c:pt idx="6">
                  <c:v>1.4000000012377531</c:v>
                </c:pt>
                <c:pt idx="7">
                  <c:v>1.4499999999140645</c:v>
                </c:pt>
                <c:pt idx="8">
                  <c:v>1.5000014321244117</c:v>
                </c:pt>
                <c:pt idx="9">
                  <c:v>1.5448683216185188</c:v>
                </c:pt>
                <c:pt idx="10">
                  <c:v>1.5999999992636236</c:v>
                </c:pt>
                <c:pt idx="11">
                  <c:v>1.6500015996883832</c:v>
                </c:pt>
                <c:pt idx="12">
                  <c:v>1.6999999997784179</c:v>
                </c:pt>
                <c:pt idx="13">
                  <c:v>1.7500000000092224</c:v>
                </c:pt>
                <c:pt idx="14">
                  <c:v>1.799999999995525</c:v>
                </c:pt>
                <c:pt idx="15">
                  <c:v>1.8499999998864578</c:v>
                </c:pt>
                <c:pt idx="16">
                  <c:v>1.9000018499918814</c:v>
                </c:pt>
                <c:pt idx="17">
                  <c:v>1.950000000000071</c:v>
                </c:pt>
                <c:pt idx="18">
                  <c:v>2.0000019499773942</c:v>
                </c:pt>
              </c:numCache>
            </c:numRef>
          </c:cat>
          <c:val>
            <c:numRef>
              <c:f>リスク最小化!$C$31:$U$31</c:f>
              <c:numCache>
                <c:formatCode>General</c:formatCode>
                <c:ptCount val="19"/>
                <c:pt idx="0">
                  <c:v>1.4333332950662954</c:v>
                </c:pt>
                <c:pt idx="1">
                  <c:v>1.0822221755831469</c:v>
                </c:pt>
                <c:pt idx="2">
                  <c:v>0.82888888718525644</c:v>
                </c:pt>
                <c:pt idx="3">
                  <c:v>0.6435759988561498</c:v>
                </c:pt>
                <c:pt idx="4">
                  <c:v>0.48738100482695162</c:v>
                </c:pt>
                <c:pt idx="5">
                  <c:v>0.36012179007549211</c:v>
                </c:pt>
                <c:pt idx="6">
                  <c:v>0.2618024347358805</c:v>
                </c:pt>
                <c:pt idx="7">
                  <c:v>0.19242294893442688</c:v>
                </c:pt>
                <c:pt idx="8">
                  <c:v>0.15198258146439278</c:v>
                </c:pt>
                <c:pt idx="9">
                  <c:v>0.14033115232732582</c:v>
                </c:pt>
                <c:pt idx="10">
                  <c:v>0.15792368405464074</c:v>
                </c:pt>
                <c:pt idx="11">
                  <c:v>0.20430561145146303</c:v>
                </c:pt>
                <c:pt idx="12">
                  <c:v>0.27962350177087064</c:v>
                </c:pt>
                <c:pt idx="13">
                  <c:v>0.38388321121419483</c:v>
                </c:pt>
                <c:pt idx="14">
                  <c:v>0.51708278676739083</c:v>
                </c:pt>
                <c:pt idx="15">
                  <c:v>0.67922222773921304</c:v>
                </c:pt>
                <c:pt idx="16">
                  <c:v>0.87030914011643523</c:v>
                </c:pt>
                <c:pt idx="17">
                  <c:v>1.0903209149611217</c:v>
                </c:pt>
                <c:pt idx="18">
                  <c:v>1.3392900213403252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B-48F5-96DF-C4014AA97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626511"/>
        <c:axId val="307381455"/>
      </c:lineChart>
      <c:catAx>
        <c:axId val="313626511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7381455"/>
        <c:crosses val="autoZero"/>
        <c:auto val="1"/>
        <c:lblAlgn val="ctr"/>
        <c:lblOffset val="100"/>
        <c:tickLblSkip val="2"/>
        <c:noMultiLvlLbl val="0"/>
      </c:catAx>
      <c:valAx>
        <c:axId val="3073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362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v>一番人気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リスク最小化!$C$31:$U$31</c:f>
              <c:numCache>
                <c:formatCode>General</c:formatCode>
                <c:ptCount val="19"/>
                <c:pt idx="0">
                  <c:v>1.4333332950662954</c:v>
                </c:pt>
                <c:pt idx="1">
                  <c:v>1.0822221755831469</c:v>
                </c:pt>
                <c:pt idx="2">
                  <c:v>0.82888888718525644</c:v>
                </c:pt>
                <c:pt idx="3">
                  <c:v>0.6435759988561498</c:v>
                </c:pt>
                <c:pt idx="4">
                  <c:v>0.48738100482695162</c:v>
                </c:pt>
                <c:pt idx="5">
                  <c:v>0.36012179007549211</c:v>
                </c:pt>
                <c:pt idx="6">
                  <c:v>0.2618024347358805</c:v>
                </c:pt>
                <c:pt idx="7">
                  <c:v>0.19242294893442688</c:v>
                </c:pt>
                <c:pt idx="8">
                  <c:v>0.15198258146439278</c:v>
                </c:pt>
                <c:pt idx="9">
                  <c:v>0.14033115232732582</c:v>
                </c:pt>
                <c:pt idx="10">
                  <c:v>0.15792368405464074</c:v>
                </c:pt>
                <c:pt idx="11">
                  <c:v>0.20430561145146303</c:v>
                </c:pt>
                <c:pt idx="12">
                  <c:v>0.27962350177087064</c:v>
                </c:pt>
                <c:pt idx="13">
                  <c:v>0.38388321121419483</c:v>
                </c:pt>
                <c:pt idx="14">
                  <c:v>0.51708278676739083</c:v>
                </c:pt>
                <c:pt idx="15">
                  <c:v>0.67922222773921304</c:v>
                </c:pt>
                <c:pt idx="16">
                  <c:v>0.87030914011643523</c:v>
                </c:pt>
                <c:pt idx="17">
                  <c:v>1.0903209149611217</c:v>
                </c:pt>
                <c:pt idx="18">
                  <c:v>1.3392900213403252</c:v>
                </c:pt>
              </c:numCache>
            </c:numRef>
          </c:cat>
          <c:val>
            <c:numRef>
              <c:f>リスク最小化!$C$27:$U$27</c:f>
              <c:numCache>
                <c:formatCode>General</c:formatCode>
                <c:ptCount val="19"/>
                <c:pt idx="0">
                  <c:v>0.99999998665103307</c:v>
                </c:pt>
                <c:pt idx="1">
                  <c:v>0.9499999836085723</c:v>
                </c:pt>
                <c:pt idx="2">
                  <c:v>0.89999999966912703</c:v>
                </c:pt>
                <c:pt idx="3">
                  <c:v>0.87384951911406994</c:v>
                </c:pt>
                <c:pt idx="4">
                  <c:v>0.84950215776468097</c:v>
                </c:pt>
                <c:pt idx="5">
                  <c:v>0.82515420399464989</c:v>
                </c:pt>
                <c:pt idx="6">
                  <c:v>0.80080625649696346</c:v>
                </c:pt>
                <c:pt idx="7">
                  <c:v>0.77645830106681468</c:v>
                </c:pt>
                <c:pt idx="8">
                  <c:v>0.75210965014456976</c:v>
                </c:pt>
                <c:pt idx="9">
                  <c:v>0.73026131666415994</c:v>
                </c:pt>
                <c:pt idx="10">
                  <c:v>0.70341444275397669</c:v>
                </c:pt>
                <c:pt idx="11">
                  <c:v>0.67906571434988228</c:v>
                </c:pt>
                <c:pt idx="12">
                  <c:v>0.6547185429356378</c:v>
                </c:pt>
                <c:pt idx="13">
                  <c:v>0.63037059495478298</c:v>
                </c:pt>
                <c:pt idx="14">
                  <c:v>0.60602264179306387</c:v>
                </c:pt>
                <c:pt idx="15">
                  <c:v>0.58167468156500346</c:v>
                </c:pt>
                <c:pt idx="16">
                  <c:v>0.55732584197863311</c:v>
                </c:pt>
                <c:pt idx="17">
                  <c:v>0.53291622792414461</c:v>
                </c:pt>
                <c:pt idx="18">
                  <c:v>0.50862988255431441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2-4012-BC96-51F52BA4FFB7}"/>
            </c:ext>
          </c:extLst>
        </c:ser>
        <c:ser>
          <c:idx val="1"/>
          <c:order val="1"/>
          <c:tx>
            <c:v>二番人気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リスク最小化!$C$31:$U$31</c:f>
              <c:numCache>
                <c:formatCode>General</c:formatCode>
                <c:ptCount val="19"/>
                <c:pt idx="0">
                  <c:v>1.4333332950662954</c:v>
                </c:pt>
                <c:pt idx="1">
                  <c:v>1.0822221755831469</c:v>
                </c:pt>
                <c:pt idx="2">
                  <c:v>0.82888888718525644</c:v>
                </c:pt>
                <c:pt idx="3">
                  <c:v>0.6435759988561498</c:v>
                </c:pt>
                <c:pt idx="4">
                  <c:v>0.48738100482695162</c:v>
                </c:pt>
                <c:pt idx="5">
                  <c:v>0.36012179007549211</c:v>
                </c:pt>
                <c:pt idx="6">
                  <c:v>0.2618024347358805</c:v>
                </c:pt>
                <c:pt idx="7">
                  <c:v>0.19242294893442688</c:v>
                </c:pt>
                <c:pt idx="8">
                  <c:v>0.15198258146439278</c:v>
                </c:pt>
                <c:pt idx="9">
                  <c:v>0.14033115232732582</c:v>
                </c:pt>
                <c:pt idx="10">
                  <c:v>0.15792368405464074</c:v>
                </c:pt>
                <c:pt idx="11">
                  <c:v>0.20430561145146303</c:v>
                </c:pt>
                <c:pt idx="12">
                  <c:v>0.27962350177087064</c:v>
                </c:pt>
                <c:pt idx="13">
                  <c:v>0.38388321121419483</c:v>
                </c:pt>
                <c:pt idx="14">
                  <c:v>0.51708278676739083</c:v>
                </c:pt>
                <c:pt idx="15">
                  <c:v>0.67922222773921304</c:v>
                </c:pt>
                <c:pt idx="16">
                  <c:v>0.87030914011643523</c:v>
                </c:pt>
                <c:pt idx="17">
                  <c:v>1.0903209149611217</c:v>
                </c:pt>
                <c:pt idx="18">
                  <c:v>1.3392900213403252</c:v>
                </c:pt>
              </c:numCache>
            </c:numRef>
          </c:cat>
          <c:val>
            <c:numRef>
              <c:f>リスク最小化!$C$28:$U$28</c:f>
              <c:numCache>
                <c:formatCode>General</c:formatCode>
                <c:ptCount val="19"/>
                <c:pt idx="0">
                  <c:v>0</c:v>
                </c:pt>
                <c:pt idx="1">
                  <c:v>5.0000004477989989E-2</c:v>
                </c:pt>
                <c:pt idx="2">
                  <c:v>0.10000000050431056</c:v>
                </c:pt>
                <c:pt idx="3">
                  <c:v>0.1179260938878719</c:v>
                </c:pt>
                <c:pt idx="4">
                  <c:v>0.13342813076221091</c:v>
                </c:pt>
                <c:pt idx="5">
                  <c:v>0.14893055255122714</c:v>
                </c:pt>
                <c:pt idx="6">
                  <c:v>0.16443296496285661</c:v>
                </c:pt>
                <c:pt idx="7">
                  <c:v>0.17993538821371532</c:v>
                </c:pt>
                <c:pt idx="8">
                  <c:v>0.19543824958901393</c:v>
                </c:pt>
                <c:pt idx="9">
                  <c:v>0.20934914962952922</c:v>
                </c:pt>
                <c:pt idx="10">
                  <c:v>0.22644264057368296</c:v>
                </c:pt>
                <c:pt idx="11">
                  <c:v>0.24194555068109247</c:v>
                </c:pt>
                <c:pt idx="12">
                  <c:v>0.25744747677026014</c:v>
                </c:pt>
                <c:pt idx="13">
                  <c:v>0.27294988961285044</c:v>
                </c:pt>
                <c:pt idx="14">
                  <c:v>0.2884523093088418</c:v>
                </c:pt>
                <c:pt idx="15">
                  <c:v>0.30395473870950929</c:v>
                </c:pt>
                <c:pt idx="16">
                  <c:v>0.31945771291623848</c:v>
                </c:pt>
                <c:pt idx="17">
                  <c:v>0.33504369348128388</c:v>
                </c:pt>
                <c:pt idx="18">
                  <c:v>0.35046258959218096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2-4012-BC96-51F52BA4FFB7}"/>
            </c:ext>
          </c:extLst>
        </c:ser>
        <c:ser>
          <c:idx val="2"/>
          <c:order val="2"/>
          <c:tx>
            <c:v>三番人気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リスク最小化!$C$31:$U$31</c:f>
              <c:numCache>
                <c:formatCode>General</c:formatCode>
                <c:ptCount val="19"/>
                <c:pt idx="0">
                  <c:v>1.4333332950662954</c:v>
                </c:pt>
                <c:pt idx="1">
                  <c:v>1.0822221755831469</c:v>
                </c:pt>
                <c:pt idx="2">
                  <c:v>0.82888888718525644</c:v>
                </c:pt>
                <c:pt idx="3">
                  <c:v>0.6435759988561498</c:v>
                </c:pt>
                <c:pt idx="4">
                  <c:v>0.48738100482695162</c:v>
                </c:pt>
                <c:pt idx="5">
                  <c:v>0.36012179007549211</c:v>
                </c:pt>
                <c:pt idx="6">
                  <c:v>0.2618024347358805</c:v>
                </c:pt>
                <c:pt idx="7">
                  <c:v>0.19242294893442688</c:v>
                </c:pt>
                <c:pt idx="8">
                  <c:v>0.15198258146439278</c:v>
                </c:pt>
                <c:pt idx="9">
                  <c:v>0.14033115232732582</c:v>
                </c:pt>
                <c:pt idx="10">
                  <c:v>0.15792368405464074</c:v>
                </c:pt>
                <c:pt idx="11">
                  <c:v>0.20430561145146303</c:v>
                </c:pt>
                <c:pt idx="12">
                  <c:v>0.27962350177087064</c:v>
                </c:pt>
                <c:pt idx="13">
                  <c:v>0.38388321121419483</c:v>
                </c:pt>
                <c:pt idx="14">
                  <c:v>0.51708278676739083</c:v>
                </c:pt>
                <c:pt idx="15">
                  <c:v>0.67922222773921304</c:v>
                </c:pt>
                <c:pt idx="16">
                  <c:v>0.87030914011643523</c:v>
                </c:pt>
                <c:pt idx="17">
                  <c:v>1.0903209149611217</c:v>
                </c:pt>
                <c:pt idx="18">
                  <c:v>1.3392900213403252</c:v>
                </c:pt>
              </c:numCache>
            </c:numRef>
          </c:cat>
          <c:val>
            <c:numRef>
              <c:f>リスク最小化!$C$29:$U$29</c:f>
              <c:numCache>
                <c:formatCode>General</c:formatCode>
                <c:ptCount val="19"/>
                <c:pt idx="0">
                  <c:v>0</c:v>
                </c:pt>
                <c:pt idx="1">
                  <c:v>-7.6808075871737103E-10</c:v>
                </c:pt>
                <c:pt idx="2">
                  <c:v>0</c:v>
                </c:pt>
                <c:pt idx="3">
                  <c:v>8.2243863116419277E-3</c:v>
                </c:pt>
                <c:pt idx="4">
                  <c:v>1.7069710514393335E-2</c:v>
                </c:pt>
                <c:pt idx="5">
                  <c:v>2.5915242966684331E-2</c:v>
                </c:pt>
                <c:pt idx="6">
                  <c:v>3.4760778533818863E-2</c:v>
                </c:pt>
                <c:pt idx="7">
                  <c:v>4.3606310698353246E-2</c:v>
                </c:pt>
                <c:pt idx="8">
                  <c:v>5.2452098565691122E-2</c:v>
                </c:pt>
                <c:pt idx="9">
                  <c:v>6.0389531813186265E-2</c:v>
                </c:pt>
                <c:pt idx="10">
                  <c:v>7.0142913405902965E-2</c:v>
                </c:pt>
                <c:pt idx="11">
                  <c:v>7.898873149464368E-2</c:v>
                </c:pt>
                <c:pt idx="12">
                  <c:v>8.7833980266334002E-2</c:v>
                </c:pt>
                <c:pt idx="13">
                  <c:v>9.6679515474395045E-2</c:v>
                </c:pt>
                <c:pt idx="14">
                  <c:v>0.10552504889491734</c:v>
                </c:pt>
                <c:pt idx="15">
                  <c:v>0.11437057977499694</c:v>
                </c:pt>
                <c:pt idx="16">
                  <c:v>0.12321644533825686</c:v>
                </c:pt>
                <c:pt idx="17">
                  <c:v>0.13204007859456315</c:v>
                </c:pt>
                <c:pt idx="18">
                  <c:v>0.14090752820481367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2-4012-BC96-51F52BA4F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1972607"/>
        <c:axId val="1670667359"/>
      </c:barChart>
      <c:catAx>
        <c:axId val="2041972607"/>
        <c:scaling>
          <c:orientation val="minMax"/>
        </c:scaling>
        <c:delete val="0"/>
        <c:axPos val="b"/>
        <c:numFmt formatCode="#,##0.0000_);[Red]\(#,##0.0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0667359"/>
        <c:crosses val="autoZero"/>
        <c:auto val="1"/>
        <c:lblAlgn val="ctr"/>
        <c:lblOffset val="100"/>
        <c:tickLblSkip val="2"/>
        <c:noMultiLvlLbl val="0"/>
      </c:catAx>
      <c:valAx>
        <c:axId val="1670667359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197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9</xdr:row>
      <xdr:rowOff>162560</xdr:rowOff>
    </xdr:from>
    <xdr:to>
      <xdr:col>16</xdr:col>
      <xdr:colOff>76200</xdr:colOff>
      <xdr:row>26</xdr:row>
      <xdr:rowOff>58420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37529E-DB56-1BB2-88C1-7E099620F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539750</xdr:colOff>
      <xdr:row>0</xdr:row>
      <xdr:rowOff>0</xdr:rowOff>
    </xdr:from>
    <xdr:to>
      <xdr:col>20</xdr:col>
      <xdr:colOff>234950</xdr:colOff>
      <xdr:row>16</xdr:row>
      <xdr:rowOff>35560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754179D-65C2-626E-8DD6-843ABB5C4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341435</xdr:colOff>
      <xdr:row>18</xdr:row>
      <xdr:rowOff>132373</xdr:rowOff>
    </xdr:from>
    <xdr:to>
      <xdr:col>8</xdr:col>
      <xdr:colOff>29797</xdr:colOff>
      <xdr:row>35</xdr:row>
      <xdr:rowOff>52266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AD9090A-1066-4854-A53B-F1755F1DA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447632</xdr:colOff>
      <xdr:row>5</xdr:row>
      <xdr:rowOff>113052</xdr:rowOff>
    </xdr:from>
    <xdr:to>
      <xdr:col>25</xdr:col>
      <xdr:colOff>118532</xdr:colOff>
      <xdr:row>22</xdr:row>
      <xdr:rowOff>62252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90848A4-9183-4DB1-BD80-97747D01B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589642</xdr:colOff>
      <xdr:row>5</xdr:row>
      <xdr:rowOff>160591</xdr:rowOff>
    </xdr:from>
    <xdr:to>
      <xdr:col>15</xdr:col>
      <xdr:colOff>265738</xdr:colOff>
      <xdr:row>22</xdr:row>
      <xdr:rowOff>109792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49BC83E-08E7-4012-BD03-A1E5685A0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7"/>
  <sheetViews>
    <sheetView zoomScaleNormal="100" workbookViewId="0">
      <selection activeCell="B1" sqref="B1:K1"/>
    </sheetView>
  </sheetViews>
  <sheetFormatPr defaultRowHeight="13" x14ac:dyDescent="0.2"/>
  <cols>
    <col min="4" max="4" width="9.26953125" customWidth="1"/>
  </cols>
  <sheetData>
    <row r="1" spans="1:15" ht="13.5" thickBo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 t="s">
        <v>0</v>
      </c>
      <c r="M1" t="s">
        <v>1</v>
      </c>
    </row>
    <row r="2" spans="1:15" ht="13.5" thickBot="1" x14ac:dyDescent="0.25">
      <c r="A2" t="s">
        <v>2</v>
      </c>
      <c r="B2">
        <v>1.1000000000000001</v>
      </c>
      <c r="C2">
        <v>1.1200000000000001</v>
      </c>
      <c r="D2">
        <v>1</v>
      </c>
      <c r="E2">
        <v>0.97</v>
      </c>
      <c r="F2">
        <v>0.98</v>
      </c>
      <c r="G2">
        <v>1.1000000000000001</v>
      </c>
      <c r="H2">
        <v>1.05</v>
      </c>
      <c r="I2">
        <v>0.95</v>
      </c>
      <c r="J2">
        <v>1.1000000000000001</v>
      </c>
      <c r="K2">
        <v>0.96</v>
      </c>
      <c r="L2" s="10">
        <f>AVERAGE(B2:K2)</f>
        <v>1.0329999999999999</v>
      </c>
      <c r="M2" s="3">
        <f>_xlfn.VAR.S(B2:K2)</f>
        <v>4.6011111111111183E-3</v>
      </c>
      <c r="N2" s="4"/>
      <c r="O2" s="5"/>
    </row>
    <row r="3" spans="1:15" ht="13.5" thickBot="1" x14ac:dyDescent="0.25">
      <c r="A3" t="s">
        <v>3</v>
      </c>
      <c r="B3">
        <v>0.95</v>
      </c>
      <c r="C3">
        <v>0.83</v>
      </c>
      <c r="D3">
        <v>1.2</v>
      </c>
      <c r="E3">
        <v>1.3</v>
      </c>
      <c r="F3">
        <v>1</v>
      </c>
      <c r="G3">
        <v>0.88</v>
      </c>
      <c r="H3">
        <v>1.2</v>
      </c>
      <c r="I3">
        <v>1</v>
      </c>
      <c r="J3">
        <v>0.85</v>
      </c>
      <c r="K3">
        <v>1.1499999999999999</v>
      </c>
      <c r="L3" s="10">
        <f t="shared" ref="L3:L4" si="0">AVERAGE(B3:K3)</f>
        <v>1.036</v>
      </c>
      <c r="M3" s="3">
        <f t="shared" ref="M3:M5" si="1">_xlfn.VAR.S(B3:K3)</f>
        <v>2.753777777777798E-2</v>
      </c>
      <c r="N3" s="1"/>
      <c r="O3" s="6"/>
    </row>
    <row r="4" spans="1:15" ht="13.5" thickBot="1" x14ac:dyDescent="0.25">
      <c r="A4" t="s">
        <v>4</v>
      </c>
      <c r="B4">
        <v>1</v>
      </c>
      <c r="C4">
        <v>1</v>
      </c>
      <c r="D4">
        <v>1.05</v>
      </c>
      <c r="E4">
        <v>1</v>
      </c>
      <c r="F4">
        <v>0.99</v>
      </c>
      <c r="G4">
        <v>0.98</v>
      </c>
      <c r="H4">
        <v>1</v>
      </c>
      <c r="I4">
        <v>1.1000000000000001</v>
      </c>
      <c r="J4">
        <v>1.02</v>
      </c>
      <c r="K4">
        <v>0.99</v>
      </c>
      <c r="L4" s="10">
        <f t="shared" si="0"/>
        <v>1.0129999999999999</v>
      </c>
      <c r="M4" s="3">
        <f t="shared" si="1"/>
        <v>1.3122222222222246E-3</v>
      </c>
      <c r="N4" s="7"/>
      <c r="O4" s="8"/>
    </row>
    <row r="5" spans="1:15" x14ac:dyDescent="0.2">
      <c r="B5">
        <f>$D$7*B2+$D$8*B3+$D$9*B4</f>
        <v>1.0316442137586894</v>
      </c>
      <c r="C5">
        <f t="shared" ref="C5:K5" si="2">$D$7*C2+$D$8*C3+$D$9*C4</f>
        <v>1.025847934912699</v>
      </c>
      <c r="D5">
        <f t="shared" si="2"/>
        <v>1.0479564495625127</v>
      </c>
      <c r="E5">
        <f t="shared" si="2"/>
        <v>1.0219218290694059</v>
      </c>
      <c r="F5">
        <f t="shared" si="2"/>
        <v>0.9873867280098958</v>
      </c>
      <c r="G5">
        <f t="shared" si="2"/>
        <v>1.0135639203628006</v>
      </c>
      <c r="H5">
        <f t="shared" si="2"/>
        <v>1.0406234925959654</v>
      </c>
      <c r="I5">
        <f t="shared" si="2"/>
        <v>1.0332437334182598</v>
      </c>
      <c r="J5">
        <f t="shared" si="2"/>
        <v>1.030985685010398</v>
      </c>
      <c r="K5">
        <f t="shared" si="2"/>
        <v>0.99648985782250621</v>
      </c>
      <c r="L5" s="10">
        <f>AVERAGE(B5:K5)</f>
        <v>1.0229663844523134</v>
      </c>
      <c r="M5" s="11">
        <f t="shared" si="1"/>
        <v>3.6069264464284444E-4</v>
      </c>
    </row>
    <row r="6" spans="1:15" x14ac:dyDescent="0.2">
      <c r="D6" t="s">
        <v>5</v>
      </c>
    </row>
    <row r="7" spans="1:15" x14ac:dyDescent="0.2">
      <c r="A7" t="s">
        <v>2</v>
      </c>
      <c r="B7" t="s">
        <v>6</v>
      </c>
      <c r="D7" s="9">
        <v>0.37155625102449441</v>
      </c>
    </row>
    <row r="8" spans="1:15" x14ac:dyDescent="0.2">
      <c r="A8" t="s">
        <v>3</v>
      </c>
      <c r="B8" t="s">
        <v>7</v>
      </c>
      <c r="D8" s="9">
        <v>0.11022836555400224</v>
      </c>
    </row>
    <row r="9" spans="1:15" x14ac:dyDescent="0.2">
      <c r="A9" t="s">
        <v>4</v>
      </c>
      <c r="B9" t="s">
        <v>8</v>
      </c>
      <c r="D9" s="9">
        <v>0.51821539035544351</v>
      </c>
    </row>
    <row r="10" spans="1:15" x14ac:dyDescent="0.2">
      <c r="C10" t="s">
        <v>9</v>
      </c>
      <c r="D10" s="13">
        <f>D7*L2+D8*L3+D9*L4</f>
        <v>1.0229663844523134</v>
      </c>
      <c r="E10">
        <v>1.0369999999999999</v>
      </c>
    </row>
    <row r="11" spans="1:15" x14ac:dyDescent="0.2">
      <c r="C11" t="s">
        <v>1</v>
      </c>
      <c r="D11" s="12">
        <f>M5</f>
        <v>3.6069264464284444E-4</v>
      </c>
      <c r="G11">
        <v>1.03</v>
      </c>
      <c r="H11">
        <v>8.0808379109379477E-4</v>
      </c>
    </row>
    <row r="12" spans="1:15" x14ac:dyDescent="0.2">
      <c r="C12">
        <v>1</v>
      </c>
      <c r="D12">
        <f>D7+D8+D9</f>
        <v>1.0000000069339401</v>
      </c>
      <c r="G12">
        <v>1.0309999999999999</v>
      </c>
      <c r="H12">
        <v>9.4432152599573495E-4</v>
      </c>
    </row>
    <row r="13" spans="1:15" x14ac:dyDescent="0.2">
      <c r="G13">
        <v>1.032</v>
      </c>
      <c r="H13">
        <v>1.0986408229934337E-3</v>
      </c>
    </row>
    <row r="14" spans="1:15" x14ac:dyDescent="0.2">
      <c r="G14">
        <v>1.0329999999999999</v>
      </c>
      <c r="H14">
        <v>1.2710416845992615E-3</v>
      </c>
    </row>
    <row r="15" spans="1:15" x14ac:dyDescent="0.2">
      <c r="G15">
        <v>1.034</v>
      </c>
      <c r="H15">
        <v>1.6858260223460095E-3</v>
      </c>
    </row>
    <row r="16" spans="1:15" x14ac:dyDescent="0.2">
      <c r="G16">
        <v>1.0349999999999999</v>
      </c>
      <c r="H16">
        <v>9.3419447877795617E-3</v>
      </c>
    </row>
    <row r="17" spans="7:8" x14ac:dyDescent="0.2">
      <c r="G17">
        <v>1.036</v>
      </c>
      <c r="H17">
        <v>2.753777777777798E-2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31"/>
  <sheetViews>
    <sheetView tabSelected="1" zoomScale="70" zoomScaleNormal="70" workbookViewId="0"/>
  </sheetViews>
  <sheetFormatPr defaultRowHeight="13" x14ac:dyDescent="0.2"/>
  <sheetData>
    <row r="1" spans="1:15" ht="13.5" thickBo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 t="s">
        <v>0</v>
      </c>
      <c r="M1" t="s">
        <v>1</v>
      </c>
    </row>
    <row r="2" spans="1:15" ht="13.5" thickBot="1" x14ac:dyDescent="0.25">
      <c r="A2" t="s">
        <v>2</v>
      </c>
      <c r="B2">
        <v>2</v>
      </c>
      <c r="C2">
        <v>2</v>
      </c>
      <c r="D2">
        <v>0</v>
      </c>
      <c r="E2">
        <v>0</v>
      </c>
      <c r="F2">
        <v>0</v>
      </c>
      <c r="G2">
        <v>3</v>
      </c>
      <c r="H2">
        <v>2</v>
      </c>
      <c r="I2">
        <v>0</v>
      </c>
      <c r="J2">
        <v>0</v>
      </c>
      <c r="K2">
        <v>2</v>
      </c>
      <c r="L2" s="2">
        <f>AVERAGE(B2:K2)</f>
        <v>1.1000000000000001</v>
      </c>
      <c r="M2" s="3">
        <f>_xlfn.VAR.S(B2:K2)</f>
        <v>1.4333333333333333</v>
      </c>
      <c r="N2" s="4"/>
      <c r="O2" s="5"/>
    </row>
    <row r="3" spans="1:15" ht="13.5" thickBot="1" x14ac:dyDescent="0.25">
      <c r="A3" t="s">
        <v>3</v>
      </c>
      <c r="B3">
        <v>0</v>
      </c>
      <c r="C3">
        <v>0</v>
      </c>
      <c r="D3">
        <v>5</v>
      </c>
      <c r="E3">
        <v>6</v>
      </c>
      <c r="F3">
        <v>0</v>
      </c>
      <c r="G3">
        <v>0</v>
      </c>
      <c r="H3">
        <v>0</v>
      </c>
      <c r="I3">
        <v>0</v>
      </c>
      <c r="J3">
        <v>10</v>
      </c>
      <c r="K3">
        <v>0</v>
      </c>
      <c r="L3" s="2">
        <f t="shared" ref="L3:L4" si="0">AVERAGE(B3:K3)</f>
        <v>2.1</v>
      </c>
      <c r="M3" s="3">
        <f t="shared" ref="M3:M5" si="1">_xlfn.VAR.S(B3:K3)</f>
        <v>12.988888888888889</v>
      </c>
      <c r="N3" s="1"/>
      <c r="O3" s="6"/>
    </row>
    <row r="4" spans="1:15" ht="13.5" thickBot="1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30</v>
      </c>
      <c r="G4">
        <v>0</v>
      </c>
      <c r="H4">
        <v>0</v>
      </c>
      <c r="I4">
        <v>20</v>
      </c>
      <c r="J4">
        <v>0</v>
      </c>
      <c r="K4">
        <v>0</v>
      </c>
      <c r="L4" s="2">
        <f t="shared" si="0"/>
        <v>5</v>
      </c>
      <c r="M4" s="3">
        <f t="shared" si="1"/>
        <v>116.66666666666667</v>
      </c>
      <c r="N4" s="7"/>
      <c r="O4" s="8"/>
    </row>
    <row r="5" spans="1:15" x14ac:dyDescent="0.2">
      <c r="B5">
        <f>B2*$D$7+B3*$D$8+B4*$D$9</f>
        <v>1.4605227212156457</v>
      </c>
      <c r="C5">
        <f t="shared" ref="C5:K5" si="2">C2*$D$7+C3*$D$8+C4*$D$9</f>
        <v>1.4605227212156457</v>
      </c>
      <c r="D5">
        <f t="shared" si="2"/>
        <v>1.0467456639809227</v>
      </c>
      <c r="E5">
        <f>E2*$D$7+E3*$D$8+E4*$D$9</f>
        <v>1.2560947967771072</v>
      </c>
      <c r="F5">
        <f t="shared" si="2"/>
        <v>1.8116854382613405</v>
      </c>
      <c r="G5">
        <f t="shared" si="2"/>
        <v>2.1907840818234687</v>
      </c>
      <c r="H5">
        <f t="shared" si="2"/>
        <v>1.4605227212156457</v>
      </c>
      <c r="I5">
        <f t="shared" si="2"/>
        <v>1.207790292174227</v>
      </c>
      <c r="J5">
        <f t="shared" si="2"/>
        <v>2.0934913279618454</v>
      </c>
      <c r="K5">
        <f t="shared" si="2"/>
        <v>1.4605227212156457</v>
      </c>
      <c r="L5" s="2">
        <f>$D$7*L2+$D$8*L3+$D$9*L4</f>
        <v>1.5448682485841496</v>
      </c>
      <c r="M5" s="3">
        <f t="shared" si="1"/>
        <v>0.14033115510760652</v>
      </c>
    </row>
    <row r="6" spans="1:15" x14ac:dyDescent="0.2">
      <c r="D6" t="s">
        <v>5</v>
      </c>
    </row>
    <row r="7" spans="1:15" x14ac:dyDescent="0.2">
      <c r="A7" t="s">
        <v>2</v>
      </c>
      <c r="B7" t="s">
        <v>10</v>
      </c>
      <c r="D7" s="9">
        <v>0.73026136060782287</v>
      </c>
    </row>
    <row r="8" spans="1:15" x14ac:dyDescent="0.2">
      <c r="A8" t="s">
        <v>3</v>
      </c>
      <c r="B8" t="s">
        <v>11</v>
      </c>
      <c r="D8" s="9">
        <v>0.20934913279618453</v>
      </c>
    </row>
    <row r="9" spans="1:15" x14ac:dyDescent="0.2">
      <c r="A9" t="s">
        <v>4</v>
      </c>
      <c r="B9" t="s">
        <v>12</v>
      </c>
      <c r="D9" s="9">
        <v>6.038951460871135E-2</v>
      </c>
    </row>
    <row r="10" spans="1:15" x14ac:dyDescent="0.2">
      <c r="A10" t="s">
        <v>9</v>
      </c>
      <c r="B10" s="13">
        <f>MIN(L2:L4)</f>
        <v>1.1000000000000001</v>
      </c>
      <c r="C10" s="14" t="s">
        <v>14</v>
      </c>
      <c r="D10" s="13">
        <f>AVERAGE(B5:K5)</f>
        <v>1.5448682485841498</v>
      </c>
      <c r="E10" s="14" t="s">
        <v>14</v>
      </c>
      <c r="F10" s="13">
        <f>MAX(L2:L4)</f>
        <v>5</v>
      </c>
    </row>
    <row r="11" spans="1:15" x14ac:dyDescent="0.2">
      <c r="C11" t="s">
        <v>1</v>
      </c>
      <c r="D11" s="12">
        <f>M5</f>
        <v>0.14033115510760652</v>
      </c>
    </row>
    <row r="12" spans="1:15" x14ac:dyDescent="0.2">
      <c r="C12" s="13">
        <v>1</v>
      </c>
      <c r="D12" s="13">
        <f>D7+D8+D9</f>
        <v>1.0000000080127187</v>
      </c>
    </row>
    <row r="14" spans="1:15" x14ac:dyDescent="0.2">
      <c r="D14" t="s">
        <v>13</v>
      </c>
    </row>
    <row r="17" spans="2:22" x14ac:dyDescent="0.2">
      <c r="C17" t="s">
        <v>15</v>
      </c>
      <c r="D17" t="s">
        <v>16</v>
      </c>
      <c r="E17" t="s">
        <v>17</v>
      </c>
    </row>
    <row r="18" spans="2:22" x14ac:dyDescent="0.2">
      <c r="C18">
        <v>1.5448682979894202</v>
      </c>
      <c r="D18">
        <v>0.14033115285867442</v>
      </c>
      <c r="E18">
        <v>0.73026144294338058</v>
      </c>
    </row>
    <row r="19" spans="2:22" x14ac:dyDescent="0.2">
      <c r="E19">
        <v>0.20934901804405995</v>
      </c>
    </row>
    <row r="20" spans="2:22" x14ac:dyDescent="0.2">
      <c r="E20">
        <v>6.0389531857875996E-2</v>
      </c>
    </row>
    <row r="27" spans="2:22" x14ac:dyDescent="0.2">
      <c r="B27" s="15"/>
      <c r="C27" s="15">
        <v>0.99999998665103307</v>
      </c>
      <c r="D27" s="15">
        <v>0.9499999836085723</v>
      </c>
      <c r="E27" s="15">
        <v>0.89999999966912703</v>
      </c>
      <c r="F27" s="15">
        <v>0.87384951911406994</v>
      </c>
      <c r="G27" s="15">
        <v>0.84950215776468097</v>
      </c>
      <c r="H27" s="15">
        <v>0.82515420399464989</v>
      </c>
      <c r="I27" s="15">
        <v>0.80080625649696346</v>
      </c>
      <c r="J27" s="15">
        <v>0.77645830106681468</v>
      </c>
      <c r="K27" s="15">
        <v>0.75210965014456976</v>
      </c>
      <c r="L27" s="15">
        <v>0.73026131666415994</v>
      </c>
      <c r="M27" s="15">
        <v>0.70341444275397669</v>
      </c>
      <c r="N27" s="15">
        <v>0.67906571434988228</v>
      </c>
      <c r="O27" s="15">
        <v>0.6547185429356378</v>
      </c>
      <c r="P27" s="15">
        <v>0.63037059495478298</v>
      </c>
      <c r="Q27" s="15">
        <v>0.60602264179306387</v>
      </c>
      <c r="R27" s="15">
        <v>0.58167468156500346</v>
      </c>
      <c r="S27" s="15">
        <v>0.55732584197863311</v>
      </c>
      <c r="T27" s="15">
        <v>0.53291622792414461</v>
      </c>
      <c r="U27" s="15">
        <v>0.50862988255431441</v>
      </c>
      <c r="V27" s="15"/>
    </row>
    <row r="28" spans="2:22" x14ac:dyDescent="0.2">
      <c r="B28" s="15"/>
      <c r="C28" s="15">
        <v>0</v>
      </c>
      <c r="D28" s="15">
        <v>5.0000004477989989E-2</v>
      </c>
      <c r="E28" s="15">
        <v>0.10000000050431056</v>
      </c>
      <c r="F28" s="15">
        <v>0.1179260938878719</v>
      </c>
      <c r="G28" s="15">
        <v>0.13342813076221091</v>
      </c>
      <c r="H28" s="15">
        <v>0.14893055255122714</v>
      </c>
      <c r="I28" s="15">
        <v>0.16443296496285661</v>
      </c>
      <c r="J28" s="15">
        <v>0.17993538821371532</v>
      </c>
      <c r="K28" s="15">
        <v>0.19543824958901393</v>
      </c>
      <c r="L28" s="15">
        <v>0.20934914962952922</v>
      </c>
      <c r="M28" s="15">
        <v>0.22644264057368296</v>
      </c>
      <c r="N28" s="15">
        <v>0.24194555068109247</v>
      </c>
      <c r="O28" s="15">
        <v>0.25744747677026014</v>
      </c>
      <c r="P28" s="15">
        <v>0.27294988961285044</v>
      </c>
      <c r="Q28" s="15">
        <v>0.2884523093088418</v>
      </c>
      <c r="R28" s="15">
        <v>0.30395473870950929</v>
      </c>
      <c r="S28" s="15">
        <v>0.31945771291623848</v>
      </c>
      <c r="T28" s="15">
        <v>0.33504369348128388</v>
      </c>
      <c r="U28" s="15">
        <v>0.35046258959218096</v>
      </c>
      <c r="V28" s="15"/>
    </row>
    <row r="29" spans="2:22" x14ac:dyDescent="0.2">
      <c r="B29" s="15"/>
      <c r="C29" s="15">
        <v>0</v>
      </c>
      <c r="D29" s="15">
        <v>-7.6808075871737103E-10</v>
      </c>
      <c r="E29" s="15">
        <v>0</v>
      </c>
      <c r="F29" s="15">
        <v>8.2243863116419277E-3</v>
      </c>
      <c r="G29" s="15">
        <v>1.7069710514393335E-2</v>
      </c>
      <c r="H29" s="15">
        <v>2.5915242966684331E-2</v>
      </c>
      <c r="I29" s="15">
        <v>3.4760778533818863E-2</v>
      </c>
      <c r="J29" s="15">
        <v>4.3606310698353246E-2</v>
      </c>
      <c r="K29" s="15">
        <v>5.2452098565691122E-2</v>
      </c>
      <c r="L29" s="15">
        <v>6.0389531813186265E-2</v>
      </c>
      <c r="M29" s="15">
        <v>7.0142913405902965E-2</v>
      </c>
      <c r="N29" s="15">
        <v>7.898873149464368E-2</v>
      </c>
      <c r="O29" s="15">
        <v>8.7833980266334002E-2</v>
      </c>
      <c r="P29" s="15">
        <v>9.6679515474395045E-2</v>
      </c>
      <c r="Q29" s="15">
        <v>0.10552504889491734</v>
      </c>
      <c r="R29" s="15">
        <v>0.11437057977499694</v>
      </c>
      <c r="S29" s="15">
        <v>0.12321644533825686</v>
      </c>
      <c r="T29" s="15">
        <v>0.13204007859456315</v>
      </c>
      <c r="U29" s="15">
        <v>0.14090752820481367</v>
      </c>
      <c r="V29" s="15"/>
    </row>
    <row r="30" spans="2:22" x14ac:dyDescent="0.2">
      <c r="B30" s="13"/>
      <c r="C30" s="16">
        <v>1.0999999853161362</v>
      </c>
      <c r="D30" s="16">
        <v>1.1499999875328046</v>
      </c>
      <c r="E30" s="16">
        <v>1.2000000006950919</v>
      </c>
      <c r="F30" s="16">
        <v>1.2500011997482174</v>
      </c>
      <c r="G30" s="16">
        <v>1.3000000007137587</v>
      </c>
      <c r="H30" s="16">
        <v>1.3499999995851137</v>
      </c>
      <c r="I30" s="16">
        <v>1.4000000012377531</v>
      </c>
      <c r="J30" s="16">
        <v>1.4499999999140645</v>
      </c>
      <c r="K30" s="16">
        <v>1.5000014321244117</v>
      </c>
      <c r="L30" s="16">
        <v>1.5448683216185188</v>
      </c>
      <c r="M30" s="16">
        <v>1.5999999992636236</v>
      </c>
      <c r="N30" s="16">
        <v>1.6500015996883832</v>
      </c>
      <c r="O30" s="16">
        <v>1.6999999997784179</v>
      </c>
      <c r="P30" s="16">
        <v>1.7500000000092224</v>
      </c>
      <c r="Q30" s="16">
        <v>1.799999999995525</v>
      </c>
      <c r="R30" s="16">
        <v>1.8499999998864578</v>
      </c>
      <c r="S30" s="16">
        <v>1.9000018499918814</v>
      </c>
      <c r="T30" s="16">
        <v>1.950000000000071</v>
      </c>
      <c r="U30" s="16">
        <v>2.0000019499773942</v>
      </c>
      <c r="V30" s="13"/>
    </row>
    <row r="31" spans="2:22" x14ac:dyDescent="0.2">
      <c r="B31" s="12"/>
      <c r="C31" s="12">
        <v>1.4333332950662954</v>
      </c>
      <c r="D31" s="12">
        <v>1.0822221755831469</v>
      </c>
      <c r="E31" s="12">
        <v>0.82888888718525644</v>
      </c>
      <c r="F31" s="12">
        <v>0.6435759988561498</v>
      </c>
      <c r="G31" s="12">
        <v>0.48738100482695162</v>
      </c>
      <c r="H31" s="12">
        <v>0.36012179007549211</v>
      </c>
      <c r="I31" s="12">
        <v>0.2618024347358805</v>
      </c>
      <c r="J31" s="12">
        <v>0.19242294893442688</v>
      </c>
      <c r="K31" s="12">
        <v>0.15198258146439278</v>
      </c>
      <c r="L31" s="12">
        <v>0.14033115232732582</v>
      </c>
      <c r="M31" s="12">
        <v>0.15792368405464074</v>
      </c>
      <c r="N31" s="12">
        <v>0.20430561145146303</v>
      </c>
      <c r="O31" s="12">
        <v>0.27962350177087064</v>
      </c>
      <c r="P31" s="12">
        <v>0.38388321121419483</v>
      </c>
      <c r="Q31" s="12">
        <v>0.51708278676739083</v>
      </c>
      <c r="R31" s="12">
        <v>0.67922222773921304</v>
      </c>
      <c r="S31" s="12">
        <v>0.87030914011643523</v>
      </c>
      <c r="T31" s="12">
        <v>1.0903209149611217</v>
      </c>
      <c r="U31" s="12">
        <v>1.3392900213403252</v>
      </c>
      <c r="V31" s="1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リスク最小化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yamaki</dc:creator>
  <cp:keywords/>
  <dc:description/>
  <cp:lastModifiedBy>出羽　諒成</cp:lastModifiedBy>
  <cp:revision/>
  <dcterms:created xsi:type="dcterms:W3CDTF">2014-12-12T23:46:58Z</dcterms:created>
  <dcterms:modified xsi:type="dcterms:W3CDTF">2024-12-03T14:38:22Z</dcterms:modified>
  <cp:category/>
  <cp:contentStatus/>
</cp:coreProperties>
</file>