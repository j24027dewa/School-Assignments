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J24027\Downloads\"/>
    </mc:Choice>
  </mc:AlternateContent>
  <xr:revisionPtr revIDLastSave="0" documentId="13_ncr:1_{9CCAC001-47DF-480F-A449-C6560F3EB492}" xr6:coauthVersionLast="36" xr6:coauthVersionMax="47" xr10:uidLastSave="{00000000-0000-0000-0000-000000000000}"/>
  <bookViews>
    <workbookView xWindow="0" yWindow="0" windowWidth="19200" windowHeight="8780" activeTab="1" xr2:uid="{00000000-000D-0000-FFFF-FFFF00000000}"/>
  </bookViews>
  <sheets>
    <sheet name="車の選択" sheetId="1" r:id="rId1"/>
    <sheet name="test" sheetId="4" r:id="rId2"/>
  </sheets>
  <definedNames>
    <definedName name="solver_adj" localSheetId="1" hidden="1">test!$D$27:$O$27,test!$R$6:$R$24</definedName>
    <definedName name="solver_adj" localSheetId="0" hidden="1">車の選択!$I$20:$I$27,車の選択!$B$29:$G$29</definedName>
    <definedName name="solver_cvg" localSheetId="1" hidden="1">0.0001</definedName>
    <definedName name="solver_cvg" localSheetId="0" hidden="1">0.0001</definedName>
    <definedName name="solver_drv" localSheetId="1" hidden="1">2</definedName>
    <definedName name="solver_drv" localSheetId="0" hidden="1">1</definedName>
    <definedName name="solver_eng" localSheetId="1" hidden="1">2</definedName>
    <definedName name="solver_eng" localSheetId="0" hidden="1">2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100</definedName>
    <definedName name="solver_lhs1" localSheetId="1" hidden="1">test!$S$6:$S$24</definedName>
    <definedName name="solver_lhs1" localSheetId="0" hidden="1">車の選択!$J$20:$J$27</definedName>
    <definedName name="solver_lhs2" localSheetId="0" hidden="1">車の選択!$B$29:$G$29</definedName>
    <definedName name="solver_lhs3" localSheetId="0" hidden="1">車の選択!$I$20:$I$27</definedName>
    <definedName name="solver_lhs4" localSheetId="0" hidden="1">車の選択!#REF!</definedName>
    <definedName name="solver_lin" localSheetId="0" hidden="1">1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1</definedName>
    <definedName name="solver_num" localSheetId="0" hidden="1">1</definedName>
    <definedName name="solver_nwt" localSheetId="1" hidden="1">1</definedName>
    <definedName name="solver_nwt" localSheetId="0" hidden="1">1</definedName>
    <definedName name="solver_opt" localSheetId="1" hidden="1">test!$R$27</definedName>
    <definedName name="solver_opt" localSheetId="0" hidden="1">車の選択!$I$29</definedName>
    <definedName name="solver_pre" localSheetId="1" hidden="1">0.000001</definedName>
    <definedName name="solver_pre" localSheetId="0" hidden="1">0.000001</definedName>
    <definedName name="solver_rbv" localSheetId="1" hidden="1">2</definedName>
    <definedName name="solver_rbv" localSheetId="0" hidden="1">1</definedName>
    <definedName name="solver_rel1" localSheetId="1" hidden="1">3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el4" localSheetId="0" hidden="1">4</definedName>
    <definedName name="solver_rhs1" localSheetId="1" hidden="1">1</definedName>
    <definedName name="solver_rhs1" localSheetId="0" hidden="1">1</definedName>
    <definedName name="solver_rhs2" localSheetId="0" hidden="1">1</definedName>
    <definedName name="solver_rhs3" localSheetId="0" hidden="1">0</definedName>
    <definedName name="solver_rhs4" localSheetId="0" hidden="1">整数</definedName>
    <definedName name="solver_rlx" localSheetId="1" hidden="1">2</definedName>
    <definedName name="solver_rlx" localSheetId="0" hidden="1">1</definedName>
    <definedName name="solver_rsd" localSheetId="1" hidden="1">0</definedName>
    <definedName name="solver_rsd" localSheetId="0" hidden="1">0</definedName>
    <definedName name="solver_scl" localSheetId="1" hidden="1">2</definedName>
    <definedName name="solver_scl" localSheetId="0" hidden="1">2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100</definedName>
    <definedName name="solver_tol" localSheetId="1" hidden="1">0.01</definedName>
    <definedName name="solver_tol" localSheetId="0" hidden="1">0.05</definedName>
    <definedName name="solver_typ" localSheetId="1" hidden="1">2</definedName>
    <definedName name="solver_typ" localSheetId="0" hidden="1">2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9" i="4" l="1"/>
  <c r="L29" i="4"/>
  <c r="I29" i="4"/>
  <c r="F29" i="4"/>
  <c r="Q6" i="4"/>
  <c r="R27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G31" i="1"/>
  <c r="D31" i="1"/>
  <c r="I29" i="1"/>
  <c r="H21" i="1"/>
  <c r="H22" i="1"/>
  <c r="H23" i="1"/>
  <c r="H24" i="1"/>
  <c r="H25" i="1"/>
  <c r="H26" i="1"/>
  <c r="H27" i="1"/>
  <c r="H28" i="1"/>
  <c r="H20" i="1"/>
  <c r="S22" i="4" l="1"/>
  <c r="S10" i="4"/>
  <c r="S19" i="4"/>
  <c r="S7" i="4"/>
  <c r="S9" i="4"/>
  <c r="S8" i="4"/>
  <c r="S18" i="4"/>
  <c r="S6" i="4"/>
  <c r="S14" i="4"/>
  <c r="S21" i="4"/>
  <c r="S20" i="4"/>
  <c r="S17" i="4"/>
  <c r="S16" i="4"/>
  <c r="S15" i="4"/>
  <c r="S13" i="4"/>
  <c r="S24" i="4"/>
  <c r="S12" i="4"/>
  <c r="S23" i="4"/>
  <c r="S11" i="4"/>
  <c r="J27" i="1"/>
  <c r="J26" i="1"/>
  <c r="J25" i="1"/>
  <c r="J24" i="1"/>
  <c r="J23" i="1"/>
  <c r="J22" i="1"/>
  <c r="J21" i="1"/>
  <c r="J20" i="1"/>
</calcChain>
</file>

<file path=xl/sharedStrings.xml><?xml version="1.0" encoding="utf-8"?>
<sst xmlns="http://schemas.openxmlformats.org/spreadsheetml/2006/main" count="45" uniqueCount="29">
  <si>
    <t>種類</t>
    <rPh sb="0" eb="2">
      <t>シュルイ</t>
    </rPh>
    <phoneticPr fontId="1"/>
  </si>
  <si>
    <t>色</t>
    <rPh sb="0" eb="1">
      <t>イロ</t>
    </rPh>
    <phoneticPr fontId="1"/>
  </si>
  <si>
    <t>セダン</t>
    <phoneticPr fontId="1"/>
  </si>
  <si>
    <t>ＲＶ</t>
    <phoneticPr fontId="1"/>
  </si>
  <si>
    <t>ワゴン</t>
    <phoneticPr fontId="1"/>
  </si>
  <si>
    <t>白</t>
    <rPh sb="0" eb="1">
      <t>シロ</t>
    </rPh>
    <phoneticPr fontId="1"/>
  </si>
  <si>
    <t>グレー</t>
    <phoneticPr fontId="1"/>
  </si>
  <si>
    <t>ブルー</t>
    <phoneticPr fontId="1"/>
  </si>
  <si>
    <t xml:space="preserve"> </t>
    <phoneticPr fontId="1"/>
  </si>
  <si>
    <t>燃費</t>
    <rPh sb="0" eb="2">
      <t>ネンピ</t>
    </rPh>
    <phoneticPr fontId="1"/>
  </si>
  <si>
    <t>乗り心地</t>
    <rPh sb="0" eb="1">
      <t>ノ</t>
    </rPh>
    <rPh sb="2" eb="4">
      <t>ゴコチ</t>
    </rPh>
    <phoneticPr fontId="1"/>
  </si>
  <si>
    <t>形式</t>
    <rPh sb="0" eb="2">
      <t>ケイシキ</t>
    </rPh>
    <phoneticPr fontId="1"/>
  </si>
  <si>
    <t>定員</t>
    <rPh sb="0" eb="2">
      <t>テイイン</t>
    </rPh>
    <phoneticPr fontId="1"/>
  </si>
  <si>
    <t>嗜好順位</t>
    <rPh sb="0" eb="2">
      <t>シコウ</t>
    </rPh>
    <rPh sb="2" eb="4">
      <t>ジュンイ</t>
    </rPh>
    <phoneticPr fontId="1"/>
  </si>
  <si>
    <t>&lt;10km/l</t>
    <phoneticPr fontId="1"/>
  </si>
  <si>
    <t>&lt;15km/l</t>
    <phoneticPr fontId="1"/>
  </si>
  <si>
    <t>15km/l &lt;</t>
    <phoneticPr fontId="1"/>
  </si>
  <si>
    <t>硬い</t>
    <rPh sb="0" eb="1">
      <t>カタ</t>
    </rPh>
    <phoneticPr fontId="1"/>
  </si>
  <si>
    <t>普通</t>
    <rPh sb="0" eb="2">
      <t>フツウ</t>
    </rPh>
    <phoneticPr fontId="1"/>
  </si>
  <si>
    <t>柔らかい</t>
    <rPh sb="0" eb="1">
      <t>ヤワ</t>
    </rPh>
    <phoneticPr fontId="1"/>
  </si>
  <si>
    <t>１BOX</t>
    <phoneticPr fontId="1"/>
  </si>
  <si>
    <t>ＳＵＶ　</t>
    <phoneticPr fontId="1"/>
  </si>
  <si>
    <t>4人以下</t>
    <rPh sb="1" eb="2">
      <t>ニン</t>
    </rPh>
    <rPh sb="2" eb="4">
      <t>イカ</t>
    </rPh>
    <phoneticPr fontId="1"/>
  </si>
  <si>
    <t>5人</t>
    <rPh sb="1" eb="2">
      <t>ニン</t>
    </rPh>
    <phoneticPr fontId="1"/>
  </si>
  <si>
    <t>6人以上</t>
    <rPh sb="1" eb="4">
      <t>ニンイジョウ</t>
    </rPh>
    <phoneticPr fontId="1"/>
  </si>
  <si>
    <t>U</t>
    <phoneticPr fontId="1"/>
  </si>
  <si>
    <t>S</t>
    <phoneticPr fontId="1"/>
  </si>
  <si>
    <t>U1+S1-U2</t>
    <phoneticPr fontId="1"/>
  </si>
  <si>
    <t>分散</t>
    <rPh sb="0" eb="2">
      <t>ブンサン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</si>
</sst>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176" fontId="0" fillId="0" borderId="0" xfId="0" applyNumberFormat="1"/>
    <xf numFmtId="0" fontId="0" fillId="0" borderId="3" xfId="0" applyBorder="1"/>
    <xf numFmtId="0" fontId="0" fillId="0" borderId="2" xfId="0" applyBorder="1"/>
    <xf numFmtId="0" fontId="0" fillId="2" borderId="1" xfId="0" applyFill="1" applyBorder="1"/>
    <xf numFmtId="0" fontId="0" fillId="3" borderId="1" xfId="0" applyFill="1" applyBorder="1"/>
    <xf numFmtId="176" fontId="0" fillId="4" borderId="1" xfId="0" applyNumberFormat="1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0" xfId="0" applyFill="1"/>
    <xf numFmtId="0" fontId="0" fillId="6" borderId="5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distributed"/>
    </xf>
    <xf numFmtId="176" fontId="0" fillId="7" borderId="0" xfId="0" applyNumberFormat="1" applyFill="1"/>
    <xf numFmtId="0" fontId="0" fillId="4" borderId="6" xfId="0" applyFill="1" applyBorder="1"/>
    <xf numFmtId="0" fontId="0" fillId="7" borderId="0" xfId="0" applyFill="1"/>
    <xf numFmtId="0" fontId="0" fillId="8" borderId="0" xfId="0" applyFill="1"/>
    <xf numFmtId="0" fontId="0" fillId="2" borderId="0" xfId="0" applyFill="1"/>
    <xf numFmtId="0" fontId="0" fillId="5" borderId="0" xfId="0" applyFill="1"/>
    <xf numFmtId="0" fontId="0" fillId="3" borderId="0" xfId="0" applyFill="1"/>
    <xf numFmtId="0" fontId="0" fillId="0" borderId="7" xfId="0" applyBorder="1"/>
    <xf numFmtId="0" fontId="0" fillId="2" borderId="4" xfId="0" applyFill="1" applyBorder="1"/>
    <xf numFmtId="0" fontId="0" fillId="6" borderId="4" xfId="0" applyFill="1" applyBorder="1"/>
    <xf numFmtId="0" fontId="0" fillId="5" borderId="4" xfId="0" applyFill="1" applyBorder="1"/>
    <xf numFmtId="0" fontId="0" fillId="3" borderId="4" xfId="0" applyFill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6" borderId="9" xfId="0" applyFill="1" applyBorder="1"/>
    <xf numFmtId="0" fontId="0" fillId="5" borderId="9" xfId="0" applyFill="1" applyBorder="1"/>
    <xf numFmtId="0" fontId="0" fillId="3" borderId="9" xfId="0" applyFill="1" applyBorder="1"/>
    <xf numFmtId="0" fontId="0" fillId="3" borderId="10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242386263942844E-2"/>
          <c:y val="8.6378877665070963E-2"/>
          <c:w val="0.71457977190124078"/>
          <c:h val="0.760798576357740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車の選択!$B$29:$D$29</c:f>
              <c:numCache>
                <c:formatCode>0_ </c:formatCode>
                <c:ptCount val="3"/>
                <c:pt idx="0">
                  <c:v>2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A4-419D-AAC8-BE3845571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90080"/>
        <c:axId val="1"/>
      </c:lineChart>
      <c:catAx>
        <c:axId val="892900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892900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2340948654518797"/>
          <c:y val="0.43189438529486135"/>
          <c:w val="0.98357397317121797"/>
          <c:h val="0.5016618271553264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</c:marker>
          <c:val>
            <c:numRef>
              <c:f>test!$D$27:$F$27</c:f>
              <c:numCache>
                <c:formatCode>General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CD-4A35-A732-FE5135ED000F}"/>
            </c:ext>
          </c:extLst>
        </c:ser>
        <c:ser>
          <c:idx val="1"/>
          <c:order val="1"/>
          <c:spPr>
            <a:ln w="28575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90000"/>
                </a:schemeClr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val>
            <c:numRef>
              <c:f>test!$G$27:$I$27</c:f>
              <c:numCache>
                <c:formatCode>General</c:formatCode>
                <c:ptCount val="3"/>
                <c:pt idx="0">
                  <c:v>0.5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CD-4A35-A732-FE5135ED000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test!$J$27:$L$27</c:f>
              <c:numCache>
                <c:formatCode>General</c:formatCode>
                <c:ptCount val="3"/>
                <c:pt idx="0">
                  <c:v>0.5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CD-4A35-A732-FE5135ED000F}"/>
            </c:ext>
          </c:extLst>
        </c:ser>
        <c:ser>
          <c:idx val="3"/>
          <c:order val="3"/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val>
            <c:numRef>
              <c:f>test!$M$27:$O$27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CD-4A35-A732-FE5135ED0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6932543"/>
        <c:axId val="1018579311"/>
      </c:lineChart>
      <c:catAx>
        <c:axId val="10069325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8579311"/>
        <c:crosses val="autoZero"/>
        <c:auto val="1"/>
        <c:lblAlgn val="ctr"/>
        <c:lblOffset val="100"/>
        <c:noMultiLvlLbl val="0"/>
      </c:catAx>
      <c:valAx>
        <c:axId val="101857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693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390525</xdr:colOff>
      <xdr:row>16</xdr:row>
      <xdr:rowOff>166413</xdr:rowOff>
    </xdr:to>
    <xdr:pic>
      <xdr:nvPicPr>
        <xdr:cNvPr id="1061" name="Picture 1">
          <a:extLst>
            <a:ext uri="{FF2B5EF4-FFF2-40B4-BE49-F238E27FC236}">
              <a16:creationId xmlns:a16="http://schemas.microsoft.com/office/drawing/2014/main" id="{3A4AED89-CA9F-4D23-89A0-919112A6B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191125" cy="29051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38100</xdr:colOff>
      <xdr:row>63</xdr:row>
      <xdr:rowOff>114300</xdr:rowOff>
    </xdr:from>
    <xdr:to>
      <xdr:col>6</xdr:col>
      <xdr:colOff>561975</xdr:colOff>
      <xdr:row>80</xdr:row>
      <xdr:rowOff>66675</xdr:rowOff>
    </xdr:to>
    <xdr:graphicFrame macro="">
      <xdr:nvGraphicFramePr>
        <xdr:cNvPr id="1062" name="グラフ 2">
          <a:extLst>
            <a:ext uri="{FF2B5EF4-FFF2-40B4-BE49-F238E27FC236}">
              <a16:creationId xmlns:a16="http://schemas.microsoft.com/office/drawing/2014/main" id="{7A526DEB-880E-46DB-A5BA-E828CFF4B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111125</xdr:colOff>
      <xdr:row>30</xdr:row>
      <xdr:rowOff>114300</xdr:rowOff>
    </xdr:from>
    <xdr:to>
      <xdr:col>12</xdr:col>
      <xdr:colOff>415925</xdr:colOff>
      <xdr:row>47</xdr:row>
      <xdr:rowOff>50800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A951854-5D44-4523-8C80-9D6D6C26A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8:J31"/>
  <sheetViews>
    <sheetView topLeftCell="A13" zoomScale="115" zoomScaleNormal="115" workbookViewId="0">
      <selection activeCell="B29" sqref="B29:D29"/>
    </sheetView>
  </sheetViews>
  <sheetFormatPr defaultRowHeight="13" x14ac:dyDescent="0.2"/>
  <cols>
    <col min="10" max="10" width="8.1796875" customWidth="1"/>
  </cols>
  <sheetData>
    <row r="18" spans="1:10" x14ac:dyDescent="0.2">
      <c r="B18" s="12" t="s">
        <v>0</v>
      </c>
      <c r="C18" s="12"/>
      <c r="D18" s="12"/>
      <c r="E18" s="13" t="s">
        <v>1</v>
      </c>
      <c r="F18" s="13"/>
      <c r="G18" s="13"/>
      <c r="H18" t="s">
        <v>25</v>
      </c>
      <c r="I18" t="s">
        <v>26</v>
      </c>
    </row>
    <row r="19" spans="1:10" x14ac:dyDescent="0.2"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</row>
    <row r="20" spans="1:10" x14ac:dyDescent="0.2">
      <c r="A20">
        <v>1</v>
      </c>
      <c r="B20" s="1" t="s">
        <v>8</v>
      </c>
      <c r="C20" s="1">
        <v>1</v>
      </c>
      <c r="D20" s="1"/>
      <c r="E20" s="1">
        <v>1</v>
      </c>
      <c r="F20" s="1"/>
      <c r="G20" s="1"/>
      <c r="H20" s="2">
        <f>SUMPRODUCT(B20:G20,$B$29:$G$29)</f>
        <v>6</v>
      </c>
      <c r="I20" s="14">
        <v>0</v>
      </c>
      <c r="J20" s="2">
        <f>H20+I20-H21</f>
        <v>1</v>
      </c>
    </row>
    <row r="21" spans="1:10" x14ac:dyDescent="0.2">
      <c r="A21">
        <v>2</v>
      </c>
      <c r="B21" s="1" t="s">
        <v>8</v>
      </c>
      <c r="C21" s="1">
        <v>1</v>
      </c>
      <c r="D21" s="1"/>
      <c r="E21" s="1"/>
      <c r="F21" s="1" t="s">
        <v>8</v>
      </c>
      <c r="G21" s="1">
        <v>1</v>
      </c>
      <c r="H21" s="2">
        <f t="shared" ref="H21:H29" si="0">SUMPRODUCT(B21:G21,$B$29:$G$29)</f>
        <v>5</v>
      </c>
      <c r="I21" s="14">
        <v>1</v>
      </c>
      <c r="J21" s="2">
        <f t="shared" ref="J21:J29" si="1">H21+I21-H22</f>
        <v>1</v>
      </c>
    </row>
    <row r="22" spans="1:10" x14ac:dyDescent="0.2">
      <c r="A22">
        <v>3</v>
      </c>
      <c r="B22" s="1">
        <v>1</v>
      </c>
      <c r="C22" s="1"/>
      <c r="D22" s="1"/>
      <c r="E22" s="1">
        <v>1</v>
      </c>
      <c r="F22" s="1"/>
      <c r="G22" s="1" t="s">
        <v>8</v>
      </c>
      <c r="H22" s="2">
        <f t="shared" si="0"/>
        <v>5</v>
      </c>
      <c r="I22" s="14">
        <v>0</v>
      </c>
      <c r="J22" s="2">
        <f t="shared" si="1"/>
        <v>1</v>
      </c>
    </row>
    <row r="23" spans="1:10" x14ac:dyDescent="0.2">
      <c r="A23">
        <v>4</v>
      </c>
      <c r="B23" s="1">
        <v>1</v>
      </c>
      <c r="C23" s="1" t="s">
        <v>8</v>
      </c>
      <c r="D23" s="1"/>
      <c r="E23" s="1" t="s">
        <v>8</v>
      </c>
      <c r="F23" s="1"/>
      <c r="G23" s="1">
        <v>1</v>
      </c>
      <c r="H23" s="2">
        <f t="shared" si="0"/>
        <v>4</v>
      </c>
      <c r="I23" s="14">
        <v>0</v>
      </c>
      <c r="J23" s="2">
        <f t="shared" si="1"/>
        <v>1</v>
      </c>
    </row>
    <row r="24" spans="1:10" x14ac:dyDescent="0.2">
      <c r="A24">
        <v>5</v>
      </c>
      <c r="B24" s="1"/>
      <c r="C24" s="1" t="s">
        <v>8</v>
      </c>
      <c r="D24" s="1">
        <v>1</v>
      </c>
      <c r="E24" s="1">
        <v>1</v>
      </c>
      <c r="F24" s="1" t="s">
        <v>8</v>
      </c>
      <c r="G24" s="1"/>
      <c r="H24" s="2">
        <f t="shared" si="0"/>
        <v>3</v>
      </c>
      <c r="I24" s="14">
        <v>0</v>
      </c>
      <c r="J24" s="2">
        <f t="shared" si="1"/>
        <v>1</v>
      </c>
    </row>
    <row r="25" spans="1:10" x14ac:dyDescent="0.2">
      <c r="A25">
        <v>6</v>
      </c>
      <c r="B25" s="1">
        <v>1</v>
      </c>
      <c r="C25" s="1" t="s">
        <v>8</v>
      </c>
      <c r="D25" s="1"/>
      <c r="E25" s="1"/>
      <c r="F25" s="1">
        <v>1</v>
      </c>
      <c r="G25" s="1" t="s">
        <v>8</v>
      </c>
      <c r="H25" s="2">
        <f t="shared" si="0"/>
        <v>2</v>
      </c>
      <c r="I25" s="14">
        <v>2</v>
      </c>
      <c r="J25" s="2">
        <f t="shared" si="1"/>
        <v>1</v>
      </c>
    </row>
    <row r="26" spans="1:10" x14ac:dyDescent="0.2">
      <c r="A26">
        <v>7</v>
      </c>
      <c r="B26" s="1"/>
      <c r="C26" s="1">
        <v>1</v>
      </c>
      <c r="D26" s="1" t="s">
        <v>8</v>
      </c>
      <c r="E26" s="1" t="s">
        <v>8</v>
      </c>
      <c r="F26" s="1">
        <v>1</v>
      </c>
      <c r="G26" s="1"/>
      <c r="H26" s="2">
        <f t="shared" si="0"/>
        <v>3</v>
      </c>
      <c r="I26" s="14">
        <v>0</v>
      </c>
      <c r="J26" s="2">
        <f t="shared" si="1"/>
        <v>1</v>
      </c>
    </row>
    <row r="27" spans="1:10" x14ac:dyDescent="0.2">
      <c r="A27">
        <v>8</v>
      </c>
      <c r="B27" s="1"/>
      <c r="C27" s="1"/>
      <c r="D27" s="1">
        <v>1</v>
      </c>
      <c r="E27" s="1"/>
      <c r="F27" s="1" t="s">
        <v>8</v>
      </c>
      <c r="G27" s="1">
        <v>1</v>
      </c>
      <c r="H27" s="2">
        <f t="shared" si="0"/>
        <v>2</v>
      </c>
      <c r="I27" s="14">
        <v>0</v>
      </c>
      <c r="J27" s="2">
        <f t="shared" si="1"/>
        <v>2</v>
      </c>
    </row>
    <row r="28" spans="1:10" x14ac:dyDescent="0.2">
      <c r="A28">
        <v>9</v>
      </c>
      <c r="B28" s="1"/>
      <c r="C28" s="1"/>
      <c r="D28" s="1">
        <v>1</v>
      </c>
      <c r="E28" s="1"/>
      <c r="F28" s="1">
        <v>1</v>
      </c>
      <c r="G28" s="1" t="s">
        <v>8</v>
      </c>
      <c r="H28" s="2">
        <f t="shared" si="0"/>
        <v>0</v>
      </c>
      <c r="I28" s="2"/>
      <c r="J28" s="2"/>
    </row>
    <row r="29" spans="1:10" x14ac:dyDescent="0.2">
      <c r="B29" s="7">
        <v>2</v>
      </c>
      <c r="C29" s="7">
        <v>3</v>
      </c>
      <c r="D29" s="7">
        <v>0</v>
      </c>
      <c r="E29" s="7">
        <v>3</v>
      </c>
      <c r="F29" s="7">
        <v>0</v>
      </c>
      <c r="G29" s="7">
        <v>2</v>
      </c>
      <c r="H29" s="2"/>
      <c r="I29" s="2">
        <f>SUM(I20:I27)</f>
        <v>3</v>
      </c>
      <c r="J29" s="2"/>
    </row>
    <row r="31" spans="1:10" x14ac:dyDescent="0.2">
      <c r="D31">
        <f>_xlfn.VAR.P(B29:D29)</f>
        <v>1.5555555555555556</v>
      </c>
      <c r="G31">
        <f>_xlfn.VAR.P(E29:G29)</f>
        <v>1.5555555555555556</v>
      </c>
    </row>
  </sheetData>
  <mergeCells count="2">
    <mergeCell ref="B18:D18"/>
    <mergeCell ref="E18:G18"/>
  </mergeCells>
  <phoneticPr fontId="1"/>
  <pageMargins left="0.75" right="0.75" top="1" bottom="1" header="0.51200000000000001" footer="0.51200000000000001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1F04-0737-4752-8C03-012480C3A65A}">
  <dimension ref="C4:S29"/>
  <sheetViews>
    <sheetView tabSelected="1" topLeftCell="B29" workbookViewId="0">
      <selection activeCell="P45" sqref="P45"/>
    </sheetView>
  </sheetViews>
  <sheetFormatPr defaultRowHeight="13" x14ac:dyDescent="0.2"/>
  <sheetData>
    <row r="4" spans="3:19" ht="13.5" thickBot="1" x14ac:dyDescent="0.25">
      <c r="D4" s="3"/>
      <c r="E4" s="4" t="s">
        <v>9</v>
      </c>
      <c r="F4" s="4"/>
      <c r="G4" s="3"/>
      <c r="H4" s="4" t="s">
        <v>10</v>
      </c>
      <c r="I4" s="4"/>
      <c r="J4" s="3"/>
      <c r="K4" s="4" t="s">
        <v>11</v>
      </c>
      <c r="L4" s="4"/>
      <c r="M4" s="3"/>
      <c r="N4" s="4" t="s">
        <v>12</v>
      </c>
      <c r="O4" s="4"/>
    </row>
    <row r="5" spans="3:19" ht="13.5" thickBot="1" x14ac:dyDescent="0.25">
      <c r="C5" s="21" t="s">
        <v>13</v>
      </c>
      <c r="D5" s="26" t="s">
        <v>14</v>
      </c>
      <c r="E5" s="27" t="s">
        <v>15</v>
      </c>
      <c r="F5" s="27" t="s">
        <v>16</v>
      </c>
      <c r="G5" s="28" t="s">
        <v>17</v>
      </c>
      <c r="H5" s="28" t="s">
        <v>18</v>
      </c>
      <c r="I5" s="28" t="s">
        <v>19</v>
      </c>
      <c r="J5" s="29" t="s">
        <v>2</v>
      </c>
      <c r="K5" s="29" t="s">
        <v>20</v>
      </c>
      <c r="L5" s="29" t="s">
        <v>21</v>
      </c>
      <c r="M5" s="30" t="s">
        <v>22</v>
      </c>
      <c r="N5" s="30" t="s">
        <v>23</v>
      </c>
      <c r="O5" s="31" t="s">
        <v>24</v>
      </c>
      <c r="Q5" s="15" t="s">
        <v>25</v>
      </c>
      <c r="R5" s="15" t="s">
        <v>26</v>
      </c>
      <c r="S5" s="15" t="s">
        <v>27</v>
      </c>
    </row>
    <row r="6" spans="3:19" x14ac:dyDescent="0.2">
      <c r="C6" s="1">
        <v>1</v>
      </c>
      <c r="D6" s="22"/>
      <c r="E6" s="22"/>
      <c r="F6" s="22">
        <v>1</v>
      </c>
      <c r="G6" s="23"/>
      <c r="H6" s="23"/>
      <c r="I6" s="23">
        <v>1</v>
      </c>
      <c r="J6" s="24"/>
      <c r="K6" s="24"/>
      <c r="L6" s="24">
        <v>1</v>
      </c>
      <c r="M6" s="25"/>
      <c r="N6" s="25">
        <v>1</v>
      </c>
      <c r="O6" s="25"/>
      <c r="Q6">
        <f>SUMPRODUCT(D6:O6,$D$27:$O$27)</f>
        <v>3.5</v>
      </c>
      <c r="R6" s="16">
        <v>0</v>
      </c>
      <c r="S6">
        <f>Q6+R6-Q7</f>
        <v>1</v>
      </c>
    </row>
    <row r="7" spans="3:19" x14ac:dyDescent="0.2">
      <c r="C7" s="1">
        <v>2</v>
      </c>
      <c r="D7" s="5"/>
      <c r="E7" s="5">
        <v>1</v>
      </c>
      <c r="F7" s="5"/>
      <c r="G7" s="9"/>
      <c r="H7" s="10"/>
      <c r="I7" s="11">
        <v>1</v>
      </c>
      <c r="J7" s="8"/>
      <c r="K7" s="8"/>
      <c r="L7" s="8">
        <v>1</v>
      </c>
      <c r="M7" s="6">
        <v>1</v>
      </c>
      <c r="N7" s="6"/>
      <c r="O7" s="6"/>
      <c r="Q7">
        <f t="shared" ref="Q7:Q25" si="0">SUMPRODUCT(D7:O7,$D$27:$O$27)</f>
        <v>2.5</v>
      </c>
      <c r="R7" s="16">
        <v>1.5</v>
      </c>
      <c r="S7">
        <f t="shared" ref="S7:S24" si="1">Q7+R7-Q8</f>
        <v>1</v>
      </c>
    </row>
    <row r="8" spans="3:19" x14ac:dyDescent="0.2">
      <c r="C8" s="1">
        <v>3</v>
      </c>
      <c r="D8" s="5"/>
      <c r="E8" s="5"/>
      <c r="F8" s="5">
        <v>1</v>
      </c>
      <c r="G8" s="9"/>
      <c r="H8" s="9">
        <v>1</v>
      </c>
      <c r="I8" s="9"/>
      <c r="J8" s="8">
        <v>1</v>
      </c>
      <c r="K8" s="8"/>
      <c r="L8" s="8"/>
      <c r="M8" s="6"/>
      <c r="N8" s="6">
        <v>1</v>
      </c>
      <c r="O8" s="6"/>
      <c r="Q8">
        <f t="shared" si="0"/>
        <v>3</v>
      </c>
      <c r="R8" s="16">
        <v>1.5</v>
      </c>
      <c r="S8">
        <f t="shared" si="1"/>
        <v>1</v>
      </c>
    </row>
    <row r="9" spans="3:19" x14ac:dyDescent="0.2">
      <c r="C9" s="1">
        <v>4</v>
      </c>
      <c r="D9" s="5"/>
      <c r="E9" s="5">
        <v>1</v>
      </c>
      <c r="F9" s="5"/>
      <c r="G9" s="9"/>
      <c r="H9" s="9">
        <v>1</v>
      </c>
      <c r="I9" s="9"/>
      <c r="J9" s="8"/>
      <c r="K9" s="8"/>
      <c r="L9" s="8">
        <v>1</v>
      </c>
      <c r="M9" s="6"/>
      <c r="N9" s="6">
        <v>1</v>
      </c>
      <c r="O9" s="6"/>
      <c r="Q9">
        <f t="shared" si="0"/>
        <v>3.5</v>
      </c>
      <c r="R9" s="16">
        <v>0</v>
      </c>
      <c r="S9">
        <f t="shared" si="1"/>
        <v>1</v>
      </c>
    </row>
    <row r="10" spans="3:19" x14ac:dyDescent="0.2">
      <c r="C10" s="1">
        <v>5</v>
      </c>
      <c r="D10" s="5"/>
      <c r="E10" s="5"/>
      <c r="F10" s="5">
        <v>1</v>
      </c>
      <c r="G10" s="9"/>
      <c r="H10" s="9"/>
      <c r="I10" s="9">
        <v>1</v>
      </c>
      <c r="J10" s="8"/>
      <c r="K10" s="8">
        <v>1</v>
      </c>
      <c r="L10" s="8"/>
      <c r="M10" s="6"/>
      <c r="N10" s="6">
        <v>1</v>
      </c>
      <c r="O10" s="6"/>
      <c r="Q10">
        <f t="shared" si="0"/>
        <v>2.5</v>
      </c>
      <c r="R10" s="16">
        <v>1</v>
      </c>
      <c r="S10">
        <f t="shared" si="1"/>
        <v>1</v>
      </c>
    </row>
    <row r="11" spans="3:19" x14ac:dyDescent="0.2">
      <c r="C11" s="1">
        <v>6</v>
      </c>
      <c r="D11" s="5"/>
      <c r="E11" s="5"/>
      <c r="F11" s="5">
        <v>1</v>
      </c>
      <c r="G11" s="9"/>
      <c r="H11" s="9"/>
      <c r="I11" s="9">
        <v>1</v>
      </c>
      <c r="J11" s="8"/>
      <c r="K11" s="8">
        <v>1</v>
      </c>
      <c r="L11" s="8"/>
      <c r="M11" s="6"/>
      <c r="N11" s="6">
        <v>1</v>
      </c>
      <c r="O11" s="6"/>
      <c r="Q11">
        <f t="shared" si="0"/>
        <v>2.5</v>
      </c>
      <c r="R11" s="16">
        <v>0</v>
      </c>
      <c r="S11">
        <f t="shared" si="1"/>
        <v>1</v>
      </c>
    </row>
    <row r="12" spans="3:19" x14ac:dyDescent="0.2">
      <c r="C12" s="1">
        <v>7</v>
      </c>
      <c r="D12" s="5"/>
      <c r="E12" s="5"/>
      <c r="F12" s="5">
        <v>1</v>
      </c>
      <c r="G12" s="9">
        <v>1</v>
      </c>
      <c r="H12" s="9"/>
      <c r="I12" s="9"/>
      <c r="J12" s="8">
        <v>1</v>
      </c>
      <c r="K12" s="8"/>
      <c r="L12" s="8"/>
      <c r="M12" s="6"/>
      <c r="N12" s="6"/>
      <c r="O12" s="6">
        <v>1</v>
      </c>
      <c r="Q12">
        <f t="shared" si="0"/>
        <v>1.5</v>
      </c>
      <c r="R12" s="16">
        <v>0.50000000000000011</v>
      </c>
      <c r="S12">
        <f t="shared" si="1"/>
        <v>1</v>
      </c>
    </row>
    <row r="13" spans="3:19" x14ac:dyDescent="0.2">
      <c r="C13" s="1">
        <v>8</v>
      </c>
      <c r="D13" s="5"/>
      <c r="E13" s="5"/>
      <c r="F13" s="5">
        <v>1</v>
      </c>
      <c r="G13" s="9"/>
      <c r="H13" s="9"/>
      <c r="I13" s="9">
        <v>1</v>
      </c>
      <c r="J13" s="8">
        <v>1</v>
      </c>
      <c r="K13" s="8"/>
      <c r="L13" s="8"/>
      <c r="M13" s="6"/>
      <c r="N13" s="6"/>
      <c r="O13" s="6">
        <v>1</v>
      </c>
      <c r="Q13">
        <f t="shared" si="0"/>
        <v>1</v>
      </c>
      <c r="R13" s="16">
        <v>3</v>
      </c>
      <c r="S13">
        <f t="shared" si="1"/>
        <v>1</v>
      </c>
    </row>
    <row r="14" spans="3:19" x14ac:dyDescent="0.2">
      <c r="C14" s="1">
        <v>9</v>
      </c>
      <c r="D14" s="5"/>
      <c r="E14" s="5">
        <v>1</v>
      </c>
      <c r="F14" s="5"/>
      <c r="G14" s="9"/>
      <c r="H14" s="9">
        <v>1</v>
      </c>
      <c r="I14" s="9"/>
      <c r="J14" s="8">
        <v>1</v>
      </c>
      <c r="K14" s="8"/>
      <c r="L14" s="8"/>
      <c r="M14" s="6"/>
      <c r="N14" s="6">
        <v>1</v>
      </c>
      <c r="O14" s="6"/>
      <c r="Q14">
        <f t="shared" si="0"/>
        <v>3</v>
      </c>
      <c r="R14" s="16">
        <v>0</v>
      </c>
      <c r="S14">
        <f t="shared" si="1"/>
        <v>1</v>
      </c>
    </row>
    <row r="15" spans="3:19" x14ac:dyDescent="0.2">
      <c r="C15" s="1">
        <v>10</v>
      </c>
      <c r="D15" s="5"/>
      <c r="E15" s="5">
        <v>1</v>
      </c>
      <c r="F15" s="5"/>
      <c r="G15" s="9">
        <v>1</v>
      </c>
      <c r="H15" s="9"/>
      <c r="I15" s="9"/>
      <c r="J15" s="8"/>
      <c r="K15" s="8">
        <v>1</v>
      </c>
      <c r="L15" s="8"/>
      <c r="M15" s="6">
        <v>1</v>
      </c>
      <c r="N15" s="6"/>
      <c r="O15" s="6"/>
      <c r="Q15">
        <f t="shared" si="0"/>
        <v>2</v>
      </c>
      <c r="R15" s="16">
        <v>1.5</v>
      </c>
      <c r="S15">
        <f t="shared" si="1"/>
        <v>1</v>
      </c>
    </row>
    <row r="16" spans="3:19" x14ac:dyDescent="0.2">
      <c r="C16" s="1">
        <v>11</v>
      </c>
      <c r="D16" s="5">
        <v>1</v>
      </c>
      <c r="E16" s="5"/>
      <c r="F16" s="5"/>
      <c r="G16" s="9">
        <v>1</v>
      </c>
      <c r="H16" s="9"/>
      <c r="I16" s="9"/>
      <c r="J16" s="8"/>
      <c r="K16" s="8">
        <v>1</v>
      </c>
      <c r="L16" s="8"/>
      <c r="M16" s="6"/>
      <c r="N16" s="6">
        <v>1</v>
      </c>
      <c r="O16" s="6"/>
      <c r="Q16">
        <f t="shared" si="0"/>
        <v>2.5</v>
      </c>
      <c r="R16" s="16">
        <v>0</v>
      </c>
      <c r="S16">
        <f t="shared" si="1"/>
        <v>1</v>
      </c>
    </row>
    <row r="17" spans="3:19" x14ac:dyDescent="0.2">
      <c r="C17" s="1">
        <v>12</v>
      </c>
      <c r="D17" s="5"/>
      <c r="E17" s="5">
        <v>1</v>
      </c>
      <c r="F17" s="5"/>
      <c r="G17" s="9"/>
      <c r="H17" s="9">
        <v>1</v>
      </c>
      <c r="I17" s="9"/>
      <c r="J17" s="8"/>
      <c r="K17" s="8">
        <v>1</v>
      </c>
      <c r="L17" s="8"/>
      <c r="M17" s="6">
        <v>1</v>
      </c>
      <c r="N17" s="6"/>
      <c r="O17" s="6"/>
      <c r="Q17">
        <f t="shared" si="0"/>
        <v>1.5</v>
      </c>
      <c r="R17" s="16">
        <v>0</v>
      </c>
      <c r="S17">
        <f t="shared" si="1"/>
        <v>1</v>
      </c>
    </row>
    <row r="18" spans="3:19" x14ac:dyDescent="0.2">
      <c r="C18" s="1">
        <v>13</v>
      </c>
      <c r="D18" s="5">
        <v>1</v>
      </c>
      <c r="E18" s="5"/>
      <c r="F18" s="5"/>
      <c r="G18" s="9"/>
      <c r="H18" s="9">
        <v>1</v>
      </c>
      <c r="I18" s="9"/>
      <c r="J18" s="8">
        <v>1</v>
      </c>
      <c r="K18" s="8"/>
      <c r="L18" s="8"/>
      <c r="M18" s="6"/>
      <c r="N18" s="6"/>
      <c r="O18" s="6">
        <v>1</v>
      </c>
      <c r="Q18">
        <f t="shared" si="0"/>
        <v>0.5</v>
      </c>
      <c r="R18" s="16">
        <v>1</v>
      </c>
      <c r="S18">
        <f t="shared" si="1"/>
        <v>1</v>
      </c>
    </row>
    <row r="19" spans="3:19" x14ac:dyDescent="0.2">
      <c r="C19" s="1">
        <v>14</v>
      </c>
      <c r="D19" s="5"/>
      <c r="E19" s="5"/>
      <c r="F19" s="5">
        <v>1</v>
      </c>
      <c r="G19" s="9"/>
      <c r="H19" s="9"/>
      <c r="I19" s="9">
        <v>1</v>
      </c>
      <c r="J19" s="8"/>
      <c r="K19" s="8">
        <v>1</v>
      </c>
      <c r="L19" s="8"/>
      <c r="M19" s="6"/>
      <c r="N19" s="6"/>
      <c r="O19" s="6">
        <v>1</v>
      </c>
      <c r="Q19">
        <f t="shared" si="0"/>
        <v>0.5</v>
      </c>
      <c r="R19" s="16">
        <v>2</v>
      </c>
      <c r="S19">
        <f t="shared" si="1"/>
        <v>1</v>
      </c>
    </row>
    <row r="20" spans="3:19" x14ac:dyDescent="0.2">
      <c r="C20" s="1">
        <v>15</v>
      </c>
      <c r="D20" s="5"/>
      <c r="E20" s="5">
        <v>1</v>
      </c>
      <c r="F20" s="5"/>
      <c r="G20" s="9"/>
      <c r="H20" s="9">
        <v>1</v>
      </c>
      <c r="I20" s="9"/>
      <c r="J20" s="8"/>
      <c r="K20" s="8">
        <v>1</v>
      </c>
      <c r="L20" s="8"/>
      <c r="M20" s="6">
        <v>1</v>
      </c>
      <c r="N20" s="6"/>
      <c r="O20" s="6"/>
      <c r="Q20">
        <f t="shared" si="0"/>
        <v>1.5</v>
      </c>
      <c r="R20" s="16">
        <v>1</v>
      </c>
      <c r="S20">
        <f t="shared" si="1"/>
        <v>1</v>
      </c>
    </row>
    <row r="21" spans="3:19" x14ac:dyDescent="0.2">
      <c r="C21" s="1">
        <v>16</v>
      </c>
      <c r="D21" s="5">
        <v>1</v>
      </c>
      <c r="E21" s="5"/>
      <c r="F21" s="5"/>
      <c r="G21" s="9"/>
      <c r="H21" s="9"/>
      <c r="I21" s="9">
        <v>1</v>
      </c>
      <c r="J21" s="8">
        <v>1</v>
      </c>
      <c r="K21" s="8"/>
      <c r="L21" s="8"/>
      <c r="M21" s="6">
        <v>1</v>
      </c>
      <c r="N21" s="6"/>
      <c r="O21" s="6"/>
      <c r="Q21">
        <f t="shared" si="0"/>
        <v>1.5</v>
      </c>
      <c r="R21" s="16">
        <v>0</v>
      </c>
      <c r="S21">
        <f t="shared" si="1"/>
        <v>1</v>
      </c>
    </row>
    <row r="22" spans="3:19" x14ac:dyDescent="0.2">
      <c r="C22" s="1">
        <v>17</v>
      </c>
      <c r="D22" s="5">
        <v>1</v>
      </c>
      <c r="E22" s="5"/>
      <c r="F22" s="5"/>
      <c r="G22" s="9"/>
      <c r="H22" s="9">
        <v>1</v>
      </c>
      <c r="I22" s="9"/>
      <c r="J22" s="8">
        <v>1</v>
      </c>
      <c r="K22" s="8"/>
      <c r="L22" s="8"/>
      <c r="M22" s="6"/>
      <c r="N22" s="6"/>
      <c r="O22" s="6">
        <v>1</v>
      </c>
      <c r="Q22">
        <f t="shared" si="0"/>
        <v>0.5</v>
      </c>
      <c r="R22" s="16">
        <v>1.5</v>
      </c>
      <c r="S22">
        <f t="shared" si="1"/>
        <v>1</v>
      </c>
    </row>
    <row r="23" spans="3:19" x14ac:dyDescent="0.2">
      <c r="C23" s="1">
        <v>18</v>
      </c>
      <c r="D23" s="5">
        <v>1</v>
      </c>
      <c r="E23" s="5"/>
      <c r="F23" s="5"/>
      <c r="G23" s="9"/>
      <c r="H23" s="9">
        <v>1</v>
      </c>
      <c r="I23" s="9"/>
      <c r="J23" s="8"/>
      <c r="K23" s="8"/>
      <c r="L23" s="8">
        <v>1</v>
      </c>
      <c r="M23" s="6"/>
      <c r="N23" s="6"/>
      <c r="O23" s="6">
        <v>1</v>
      </c>
      <c r="Q23">
        <f t="shared" si="0"/>
        <v>1</v>
      </c>
      <c r="R23" s="16">
        <v>2.5</v>
      </c>
      <c r="S23">
        <f t="shared" si="1"/>
        <v>1</v>
      </c>
    </row>
    <row r="24" spans="3:19" x14ac:dyDescent="0.2">
      <c r="C24" s="1">
        <v>19</v>
      </c>
      <c r="D24" s="5"/>
      <c r="E24" s="5"/>
      <c r="F24" s="5">
        <v>1</v>
      </c>
      <c r="G24" s="9"/>
      <c r="H24" s="9">
        <v>1</v>
      </c>
      <c r="I24" s="9"/>
      <c r="J24" s="8"/>
      <c r="K24" s="8"/>
      <c r="L24" s="8">
        <v>1</v>
      </c>
      <c r="M24" s="6">
        <v>1</v>
      </c>
      <c r="N24" s="6"/>
      <c r="O24" s="6"/>
      <c r="Q24">
        <f t="shared" si="0"/>
        <v>2.5</v>
      </c>
      <c r="R24" s="16">
        <v>0</v>
      </c>
      <c r="S24">
        <f t="shared" si="1"/>
        <v>1</v>
      </c>
    </row>
    <row r="25" spans="3:19" x14ac:dyDescent="0.2">
      <c r="C25" s="1">
        <v>20</v>
      </c>
      <c r="D25" s="5"/>
      <c r="E25" s="5">
        <v>1</v>
      </c>
      <c r="F25" s="5"/>
      <c r="G25" s="9"/>
      <c r="H25" s="9">
        <v>1</v>
      </c>
      <c r="I25" s="9"/>
      <c r="J25" s="8"/>
      <c r="K25" s="8"/>
      <c r="L25" s="8">
        <v>1</v>
      </c>
      <c r="M25" s="6"/>
      <c r="N25" s="6"/>
      <c r="O25" s="6">
        <v>1</v>
      </c>
      <c r="Q25">
        <f t="shared" si="0"/>
        <v>1.5</v>
      </c>
    </row>
    <row r="27" spans="3:19" x14ac:dyDescent="0.2">
      <c r="D27" s="16">
        <v>0</v>
      </c>
      <c r="E27" s="16">
        <v>0.5</v>
      </c>
      <c r="F27" s="16">
        <v>0.5</v>
      </c>
      <c r="G27" s="16">
        <v>0.5</v>
      </c>
      <c r="H27" s="16">
        <v>0</v>
      </c>
      <c r="I27" s="16">
        <v>0</v>
      </c>
      <c r="J27" s="16">
        <v>0.5</v>
      </c>
      <c r="K27" s="16">
        <v>0</v>
      </c>
      <c r="L27" s="16">
        <v>1</v>
      </c>
      <c r="M27" s="16">
        <v>1</v>
      </c>
      <c r="N27" s="16">
        <v>2</v>
      </c>
      <c r="O27" s="16">
        <v>0</v>
      </c>
      <c r="R27" s="17">
        <f>SUM(R6:R24)</f>
        <v>17</v>
      </c>
    </row>
    <row r="29" spans="3:19" x14ac:dyDescent="0.2">
      <c r="C29" t="s">
        <v>28</v>
      </c>
      <c r="F29" s="18">
        <f>_xlfn.VAR.P(D27:F27)</f>
        <v>5.5555555555555552E-2</v>
      </c>
      <c r="I29" s="10">
        <f>_xlfn.VAR.P(G27:I27)</f>
        <v>5.5555555555555552E-2</v>
      </c>
      <c r="L29" s="19">
        <f>_xlfn.VAR.P(J27:L27)</f>
        <v>0.16666666666666666</v>
      </c>
      <c r="O29" s="20">
        <f>_xlfn.VAR.P(M27:O27)</f>
        <v>0.66666666666666663</v>
      </c>
    </row>
  </sheetData>
  <sortState ref="D6:P25">
    <sortCondition descending="1" ref="P6:P25"/>
  </sortState>
  <phoneticPr fontId="1"/>
  <pageMargins left="0.7" right="0.7" top="0.75" bottom="0.75" header="0.3" footer="0.3"/>
  <ignoredErrors>
    <ignoredError sqref="Q6:Q25 F29 I29:O29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車の選択</vt:lpstr>
      <vt:lpstr>test</vt:lpstr>
    </vt:vector>
  </TitlesOfParts>
  <Manager/>
  <Company>静岡大学 工学部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八巻 直一</dc:creator>
  <cp:keywords/>
  <dc:description/>
  <cp:lastModifiedBy>出羽　諒成</cp:lastModifiedBy>
  <cp:revision/>
  <dcterms:created xsi:type="dcterms:W3CDTF">2004-03-02T01:27:29Z</dcterms:created>
  <dcterms:modified xsi:type="dcterms:W3CDTF">2024-11-26T07:39:35Z</dcterms:modified>
  <cp:category/>
  <cp:contentStatus/>
</cp:coreProperties>
</file>