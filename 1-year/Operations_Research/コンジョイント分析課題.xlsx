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24027\Downloads\"/>
    </mc:Choice>
  </mc:AlternateContent>
  <xr:revisionPtr revIDLastSave="0" documentId="13_ncr:1_{4876CA2A-2F30-4249-B7C5-61D096786A4E}" xr6:coauthVersionLast="36" xr6:coauthVersionMax="47" xr10:uidLastSave="{00000000-0000-0000-0000-000000000000}"/>
  <bookViews>
    <workbookView xWindow="0" yWindow="0" windowWidth="19200" windowHeight="7450" activeTab="3" xr2:uid="{00000000-000D-0000-FFFF-FFFF00000000}"/>
  </bookViews>
  <sheets>
    <sheet name="車の選択１" sheetId="1" r:id="rId1"/>
    <sheet name="計算練習" sheetId="3" r:id="rId2"/>
    <sheet name="計算練習２" sheetId="4" r:id="rId3"/>
    <sheet name="課題" sheetId="2" r:id="rId4"/>
  </sheets>
  <definedNames>
    <definedName name="solver_adj" localSheetId="3" hidden="1">課題!$O$4:$O$22,課題!$B$25:$M$25</definedName>
    <definedName name="solver_adj" localSheetId="1" hidden="1">計算練習!$K$6:$K$13</definedName>
    <definedName name="solver_adj" localSheetId="2" hidden="1">計算練習２!$D$16:$I$16,計算練習２!$K$6:$K$13</definedName>
    <definedName name="solver_adj" localSheetId="0" hidden="1">車の選択１!$B$29:$G$29,車の選択１!#REF!</definedName>
    <definedName name="solver_cvg" localSheetId="3" hidden="1">0.0001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3" hidden="1">1</definedName>
    <definedName name="solver_drv" localSheetId="1" hidden="1">2</definedName>
    <definedName name="solver_drv" localSheetId="2" hidden="1">2</definedName>
    <definedName name="solver_drv" localSheetId="0" hidden="1">1</definedName>
    <definedName name="solver_eng" localSheetId="3" hidden="1">2</definedName>
    <definedName name="solver_eng" localSheetId="1" hidden="1">2</definedName>
    <definedName name="solver_eng" localSheetId="2" hidden="1">2</definedName>
    <definedName name="solver_eng" localSheetId="0" hidden="1">2</definedName>
    <definedName name="solver_est" localSheetId="3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3" hidden="1">2147483647</definedName>
    <definedName name="solver_itr" localSheetId="1" hidden="1">2147483647</definedName>
    <definedName name="solver_itr" localSheetId="2" hidden="1">2147483647</definedName>
    <definedName name="solver_itr" localSheetId="0" hidden="1">100</definedName>
    <definedName name="solver_lhs1" localSheetId="3" hidden="1">課題!$P$4:$P$22</definedName>
    <definedName name="solver_lhs1" localSheetId="1" hidden="1">計算練習!$M$6:$M$13</definedName>
    <definedName name="solver_lhs1" localSheetId="2" hidden="1">計算練習２!$D$16:$I$16</definedName>
    <definedName name="solver_lhs1" localSheetId="0" hidden="1">車の選択１!$I$20:$I$27</definedName>
    <definedName name="solver_lhs2" localSheetId="3" hidden="1">課題!#REF!</definedName>
    <definedName name="solver_lhs2" localSheetId="2" hidden="1">計算練習２!$K$6:$K$13</definedName>
    <definedName name="solver_lhs2" localSheetId="0" hidden="1">車の選択１!$I$20:$I$27</definedName>
    <definedName name="solver_lhs3" localSheetId="3" hidden="1">課題!#REF!</definedName>
    <definedName name="solver_lhs3" localSheetId="2" hidden="1">計算練習２!$M$6:$M$13</definedName>
    <definedName name="solver_lhs3" localSheetId="0" hidden="1">車の選択１!$I$20:$I$27</definedName>
    <definedName name="solver_lhs4" localSheetId="3" hidden="1">課題!#REF!</definedName>
    <definedName name="solver_lhs4" localSheetId="0" hidden="1">車の選択１!#REF!</definedName>
    <definedName name="solver_lhs5" localSheetId="3" hidden="1">課題!#REF!</definedName>
    <definedName name="solver_lhs6" localSheetId="3" hidden="1">課題!#REF!</definedName>
    <definedName name="solver_lhs7" localSheetId="3" hidden="1">課題!#REF!</definedName>
    <definedName name="solver_lhs8" localSheetId="3" hidden="1">課題!#REF!</definedName>
    <definedName name="solver_lin" localSheetId="3" hidden="1">1</definedName>
    <definedName name="solver_lin" localSheetId="0" hidden="1">1</definedName>
    <definedName name="solver_mip" localSheetId="3" hidden="1">2147483647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3" hidden="1">30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3" hidden="1">0.075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3" hidden="1">2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3" hidden="1">2147483647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3" hidden="1">1</definedName>
    <definedName name="solver_num" localSheetId="1" hidden="1">1</definedName>
    <definedName name="solver_num" localSheetId="2" hidden="1">3</definedName>
    <definedName name="solver_num" localSheetId="0" hidden="1">1</definedName>
    <definedName name="solver_nwt" localSheetId="3" hidden="1">1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3" hidden="1">課題!$O$23</definedName>
    <definedName name="solver_opt" localSheetId="1" hidden="1">計算練習!$K$16</definedName>
    <definedName name="solver_opt" localSheetId="2" hidden="1">計算練習２!$K$16</definedName>
    <definedName name="solver_opt" localSheetId="0" hidden="1">車の選択１!#REF!</definedName>
    <definedName name="solver_pre" localSheetId="3" hidden="1">0.000001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3" hidden="1">1</definedName>
    <definedName name="solver_rbv" localSheetId="1" hidden="1">2</definedName>
    <definedName name="solver_rbv" localSheetId="2" hidden="1">2</definedName>
    <definedName name="solver_rbv" localSheetId="0" hidden="1">1</definedName>
    <definedName name="solver_rel1" localSheetId="3" hidden="1">3</definedName>
    <definedName name="solver_rel1" localSheetId="1" hidden="1">3</definedName>
    <definedName name="solver_rel1" localSheetId="2" hidden="1">3</definedName>
    <definedName name="solver_rel1" localSheetId="0" hidden="1">3</definedName>
    <definedName name="solver_rel2" localSheetId="3" hidden="1">3</definedName>
    <definedName name="solver_rel2" localSheetId="2" hidden="1">3</definedName>
    <definedName name="solver_rel2" localSheetId="0" hidden="1">3</definedName>
    <definedName name="solver_rel3" localSheetId="3" hidden="1">1</definedName>
    <definedName name="solver_rel3" localSheetId="2" hidden="1">3</definedName>
    <definedName name="solver_rel3" localSheetId="0" hidden="1">3</definedName>
    <definedName name="solver_rel4" localSheetId="3" hidden="1">1</definedName>
    <definedName name="solver_rel4" localSheetId="0" hidden="1">4</definedName>
    <definedName name="solver_rel5" localSheetId="3" hidden="1">1</definedName>
    <definedName name="solver_rel6" localSheetId="3" hidden="1">1</definedName>
    <definedName name="solver_rel7" localSheetId="3" hidden="1">1</definedName>
    <definedName name="solver_rel8" localSheetId="3" hidden="1">1</definedName>
    <definedName name="solver_rhs1" localSheetId="3" hidden="1">課題!$Q$4:$Q$22</definedName>
    <definedName name="solver_rhs1" localSheetId="1" hidden="1">0</definedName>
    <definedName name="solver_rhs1" localSheetId="2" hidden="1">0</definedName>
    <definedName name="solver_rhs1" localSheetId="0" hidden="1">0</definedName>
    <definedName name="solver_rhs2" localSheetId="3" hidden="1">0</definedName>
    <definedName name="solver_rhs2" localSheetId="2" hidden="1">0</definedName>
    <definedName name="solver_rhs2" localSheetId="0" hidden="1">0</definedName>
    <definedName name="solver_rhs3" localSheetId="3" hidden="1">課題!#REF!</definedName>
    <definedName name="solver_rhs3" localSheetId="2" hidden="1">0</definedName>
    <definedName name="solver_rhs3" localSheetId="0" hidden="1">0</definedName>
    <definedName name="solver_rhs4" localSheetId="3" hidden="1">課題!#REF!</definedName>
    <definedName name="solver_rhs4" localSheetId="0" hidden="1">整数</definedName>
    <definedName name="solver_rhs5" localSheetId="3" hidden="1">課題!#REF!</definedName>
    <definedName name="solver_rhs6" localSheetId="3" hidden="1">課題!#REF!</definedName>
    <definedName name="solver_rhs7" localSheetId="3" hidden="1">課題!#REF!</definedName>
    <definedName name="solver_rhs8" localSheetId="3" hidden="1">課題!#REF!</definedName>
    <definedName name="solver_rlx" localSheetId="3" hidden="1">2</definedName>
    <definedName name="solver_rlx" localSheetId="1" hidden="1">2</definedName>
    <definedName name="solver_rlx" localSheetId="2" hidden="1">2</definedName>
    <definedName name="solver_rlx" localSheetId="0" hidden="1">1</definedName>
    <definedName name="solver_rsd" localSheetId="3" hidden="1">0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3" hidden="1">1</definedName>
    <definedName name="solver_scl" localSheetId="1" hidden="1">2</definedName>
    <definedName name="solver_scl" localSheetId="2" hidden="1">2</definedName>
    <definedName name="solver_scl" localSheetId="0" hidden="1">2</definedName>
    <definedName name="solver_sho" localSheetId="3" hidden="1">2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3" hidden="1">100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3" hidden="1">2147483647</definedName>
    <definedName name="solver_tim" localSheetId="1" hidden="1">2147483647</definedName>
    <definedName name="solver_tim" localSheetId="2" hidden="1">2147483647</definedName>
    <definedName name="solver_tim" localSheetId="0" hidden="1">100</definedName>
    <definedName name="solver_tol" localSheetId="3" hidden="1">0.01</definedName>
    <definedName name="solver_tol" localSheetId="1" hidden="1">0.01</definedName>
    <definedName name="solver_tol" localSheetId="2" hidden="1">0.01</definedName>
    <definedName name="solver_tol" localSheetId="0" hidden="1">0.05</definedName>
    <definedName name="solver_typ" localSheetId="3" hidden="1">2</definedName>
    <definedName name="solver_typ" localSheetId="1" hidden="1">2</definedName>
    <definedName name="solver_typ" localSheetId="2" hidden="1">2</definedName>
    <definedName name="solver_typ" localSheetId="0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3" hidden="1">3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4" l="1"/>
  <c r="J7" i="4"/>
  <c r="L7" i="4" s="1"/>
  <c r="J8" i="4"/>
  <c r="L8" i="4" s="1"/>
  <c r="J9" i="4"/>
  <c r="L9" i="4" s="1"/>
  <c r="J10" i="4"/>
  <c r="L10" i="4" s="1"/>
  <c r="J11" i="4"/>
  <c r="L11" i="4" s="1"/>
  <c r="J12" i="4"/>
  <c r="L12" i="4" s="1"/>
  <c r="J13" i="4"/>
  <c r="L13" i="4" s="1"/>
  <c r="J14" i="4"/>
  <c r="J6" i="4"/>
  <c r="L6" i="4" s="1"/>
  <c r="M6" i="4" l="1"/>
  <c r="M12" i="4"/>
  <c r="M9" i="4"/>
  <c r="M8" i="4"/>
  <c r="M7" i="4"/>
  <c r="M11" i="4"/>
  <c r="M10" i="4"/>
  <c r="M13" i="4"/>
  <c r="K16" i="3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J6" i="3"/>
  <c r="L6" i="3" s="1"/>
  <c r="M7" i="3" l="1"/>
  <c r="M6" i="3"/>
  <c r="M10" i="3"/>
  <c r="M12" i="3"/>
  <c r="M13" i="3"/>
  <c r="M11" i="3"/>
  <c r="M9" i="3"/>
  <c r="M8" i="3"/>
</calcChain>
</file>

<file path=xl/sharedStrings.xml><?xml version="1.0" encoding="utf-8"?>
<sst xmlns="http://schemas.openxmlformats.org/spreadsheetml/2006/main" count="101" uniqueCount="33">
  <si>
    <t>種類</t>
    <rPh sb="0" eb="2">
      <t>シュルイ</t>
    </rPh>
    <phoneticPr fontId="1"/>
  </si>
  <si>
    <t>色</t>
    <rPh sb="0" eb="1">
      <t>イロ</t>
    </rPh>
    <phoneticPr fontId="1"/>
  </si>
  <si>
    <t>セダン</t>
    <phoneticPr fontId="1"/>
  </si>
  <si>
    <t>ＲＶ</t>
    <phoneticPr fontId="1"/>
  </si>
  <si>
    <t>ワゴン</t>
    <phoneticPr fontId="1"/>
  </si>
  <si>
    <t>白</t>
    <rPh sb="0" eb="1">
      <t>シロ</t>
    </rPh>
    <phoneticPr fontId="1"/>
  </si>
  <si>
    <t>グレー</t>
    <phoneticPr fontId="1"/>
  </si>
  <si>
    <t>ブルー</t>
    <phoneticPr fontId="1"/>
  </si>
  <si>
    <t xml:space="preserve"> </t>
    <phoneticPr fontId="1"/>
  </si>
  <si>
    <t>U</t>
    <phoneticPr fontId="1"/>
  </si>
  <si>
    <t>S</t>
    <phoneticPr fontId="1"/>
  </si>
  <si>
    <t>選考順位</t>
    <rPh sb="0" eb="4">
      <t>センコウジュンイ</t>
    </rPh>
    <phoneticPr fontId="1"/>
  </si>
  <si>
    <t>スコア</t>
    <phoneticPr fontId="1"/>
  </si>
  <si>
    <t>スラック</t>
    <phoneticPr fontId="1"/>
  </si>
  <si>
    <t>U+S</t>
    <phoneticPr fontId="1"/>
  </si>
  <si>
    <t>U(k)+S(k)-(U(k+1)+1)</t>
    <phoneticPr fontId="1"/>
  </si>
  <si>
    <t>PW</t>
    <phoneticPr fontId="1"/>
  </si>
  <si>
    <t>燃費</t>
    <rPh sb="0" eb="2">
      <t>ネンピ</t>
    </rPh>
    <phoneticPr fontId="1"/>
  </si>
  <si>
    <t>乗り心地</t>
    <rPh sb="0" eb="1">
      <t>ノ</t>
    </rPh>
    <rPh sb="2" eb="4">
      <t>ゴコチ</t>
    </rPh>
    <phoneticPr fontId="1"/>
  </si>
  <si>
    <t>形式</t>
    <rPh sb="0" eb="2">
      <t>ケイシキ</t>
    </rPh>
    <phoneticPr fontId="1"/>
  </si>
  <si>
    <t>定員</t>
    <rPh sb="0" eb="2">
      <t>テイイン</t>
    </rPh>
    <phoneticPr fontId="1"/>
  </si>
  <si>
    <t>商品</t>
    <rPh sb="0" eb="2">
      <t>ショウヒン</t>
    </rPh>
    <phoneticPr fontId="1"/>
  </si>
  <si>
    <t>&lt;10km/l</t>
    <phoneticPr fontId="1"/>
  </si>
  <si>
    <t>&lt;15km/l</t>
    <phoneticPr fontId="1"/>
  </si>
  <si>
    <t>15km/l &lt;</t>
    <phoneticPr fontId="1"/>
  </si>
  <si>
    <t>硬い</t>
    <rPh sb="0" eb="1">
      <t>カタ</t>
    </rPh>
    <phoneticPr fontId="1"/>
  </si>
  <si>
    <t>普通</t>
    <rPh sb="0" eb="2">
      <t>フツウ</t>
    </rPh>
    <phoneticPr fontId="1"/>
  </si>
  <si>
    <t>柔らかい</t>
    <rPh sb="0" eb="1">
      <t>ヤワ</t>
    </rPh>
    <phoneticPr fontId="1"/>
  </si>
  <si>
    <t>１BOX</t>
    <phoneticPr fontId="1"/>
  </si>
  <si>
    <t>ＳＵＶ　</t>
    <phoneticPr fontId="1"/>
  </si>
  <si>
    <t>4人以下</t>
    <rPh sb="1" eb="2">
      <t>ニン</t>
    </rPh>
    <rPh sb="2" eb="4">
      <t>イカ</t>
    </rPh>
    <phoneticPr fontId="1"/>
  </si>
  <si>
    <t>5人</t>
    <rPh sb="1" eb="2">
      <t>ニン</t>
    </rPh>
    <phoneticPr fontId="1"/>
  </si>
  <si>
    <t>6人以上</t>
    <rPh sb="1" eb="4">
      <t>ニンイジョウ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</si>
</sst>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HGｺﾞｼｯｸE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76" fontId="0" fillId="0" borderId="0" xfId="0" applyNumberFormat="1"/>
    <xf numFmtId="176" fontId="0" fillId="2" borderId="0" xfId="0" applyNumberFormat="1" applyFill="1"/>
    <xf numFmtId="176" fontId="0" fillId="2" borderId="2" xfId="0" applyNumberFormat="1" applyFill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3" borderId="1" xfId="0" applyFill="1" applyBorder="1"/>
    <xf numFmtId="0" fontId="4" fillId="0" borderId="0" xfId="0" applyFont="1"/>
    <xf numFmtId="0" fontId="0" fillId="4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distributed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distributed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242386263942844E-2"/>
          <c:y val="8.6378877665070963E-2"/>
          <c:w val="0.71457977190124078"/>
          <c:h val="0.760798576357740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車の選択１!$B$29:$D$29</c:f>
              <c:numCache>
                <c:formatCode>0_ </c:formatCode>
                <c:ptCount val="3"/>
                <c:pt idx="0">
                  <c:v>2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A4-419D-AAC8-BE3845571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90080"/>
        <c:axId val="1"/>
      </c:lineChart>
      <c:catAx>
        <c:axId val="89290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8929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340948654518797"/>
          <c:y val="0.43189438529486135"/>
          <c:w val="0.16016448662603"/>
          <c:h val="6.976744186046512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390525</xdr:colOff>
      <xdr:row>17</xdr:row>
      <xdr:rowOff>0</xdr:rowOff>
    </xdr:to>
    <xdr:pic>
      <xdr:nvPicPr>
        <xdr:cNvPr id="1061" name="Picture 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91125" cy="2905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38100</xdr:colOff>
      <xdr:row>63</xdr:row>
      <xdr:rowOff>114300</xdr:rowOff>
    </xdr:from>
    <xdr:to>
      <xdr:col>6</xdr:col>
      <xdr:colOff>561975</xdr:colOff>
      <xdr:row>80</xdr:row>
      <xdr:rowOff>66675</xdr:rowOff>
    </xdr:to>
    <xdr:graphicFrame macro="">
      <xdr:nvGraphicFramePr>
        <xdr:cNvPr id="1062" name="グラフ 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34</xdr:row>
          <xdr:rowOff>44450</xdr:rowOff>
        </xdr:from>
        <xdr:to>
          <xdr:col>21</xdr:col>
          <xdr:colOff>488950</xdr:colOff>
          <xdr:row>50</xdr:row>
          <xdr:rowOff>31750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10</xdr:col>
      <xdr:colOff>0</xdr:colOff>
      <xdr:row>58</xdr:row>
      <xdr:rowOff>76200</xdr:rowOff>
    </xdr:from>
    <xdr:to>
      <xdr:col>18</xdr:col>
      <xdr:colOff>80989</xdr:colOff>
      <xdr:row>71</xdr:row>
      <xdr:rowOff>124431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9120" y="10759440"/>
          <a:ext cx="4954858" cy="2227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J41"/>
  <sheetViews>
    <sheetView showGridLines="0" zoomScale="41" zoomScaleNormal="41" workbookViewId="0">
      <selection activeCell="C32" sqref="C32"/>
    </sheetView>
  </sheetViews>
  <sheetFormatPr defaultRowHeight="13" x14ac:dyDescent="0.2"/>
  <cols>
    <col min="10" max="10" width="14" bestFit="1" customWidth="1"/>
  </cols>
  <sheetData>
    <row r="18" spans="1:10" x14ac:dyDescent="0.2">
      <c r="B18" s="22" t="s">
        <v>0</v>
      </c>
      <c r="C18" s="22"/>
      <c r="D18" s="22"/>
      <c r="E18" s="23" t="s">
        <v>1</v>
      </c>
      <c r="F18" s="23"/>
      <c r="G18" s="23"/>
    </row>
    <row r="19" spans="1:10" x14ac:dyDescent="0.2"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</row>
    <row r="20" spans="1:10" x14ac:dyDescent="0.2">
      <c r="A20">
        <v>1</v>
      </c>
      <c r="B20" s="1" t="s">
        <v>8</v>
      </c>
      <c r="C20" s="1">
        <v>1</v>
      </c>
      <c r="D20" s="1"/>
      <c r="E20" s="1">
        <v>1</v>
      </c>
      <c r="F20" s="1"/>
      <c r="G20" s="1"/>
      <c r="H20" s="2"/>
      <c r="I20" s="2"/>
      <c r="J20" s="2"/>
    </row>
    <row r="21" spans="1:10" x14ac:dyDescent="0.2">
      <c r="A21">
        <v>2</v>
      </c>
      <c r="B21" s="1" t="s">
        <v>8</v>
      </c>
      <c r="C21" s="1">
        <v>1</v>
      </c>
      <c r="D21" s="1"/>
      <c r="E21" s="1"/>
      <c r="F21" s="1" t="s">
        <v>8</v>
      </c>
      <c r="G21" s="1">
        <v>1</v>
      </c>
      <c r="H21" s="2"/>
      <c r="I21" s="2"/>
      <c r="J21" s="2"/>
    </row>
    <row r="22" spans="1:10" x14ac:dyDescent="0.2">
      <c r="A22">
        <v>3</v>
      </c>
      <c r="B22" s="1">
        <v>1</v>
      </c>
      <c r="C22" s="1"/>
      <c r="D22" s="1"/>
      <c r="E22" s="1">
        <v>1</v>
      </c>
      <c r="F22" s="1"/>
      <c r="G22" s="1" t="s">
        <v>8</v>
      </c>
      <c r="H22" s="2"/>
      <c r="I22" s="2"/>
      <c r="J22" s="2"/>
    </row>
    <row r="23" spans="1:10" x14ac:dyDescent="0.2">
      <c r="A23">
        <v>4</v>
      </c>
      <c r="B23" s="1">
        <v>1</v>
      </c>
      <c r="C23" s="1" t="s">
        <v>8</v>
      </c>
      <c r="D23" s="1"/>
      <c r="E23" s="1" t="s">
        <v>8</v>
      </c>
      <c r="F23" s="1"/>
      <c r="G23" s="1">
        <v>1</v>
      </c>
      <c r="H23" s="2"/>
      <c r="I23" s="2"/>
      <c r="J23" s="2"/>
    </row>
    <row r="24" spans="1:10" x14ac:dyDescent="0.2">
      <c r="A24">
        <v>5</v>
      </c>
      <c r="B24" s="1"/>
      <c r="C24" s="1" t="s">
        <v>8</v>
      </c>
      <c r="D24" s="1">
        <v>1</v>
      </c>
      <c r="E24" s="1">
        <v>1</v>
      </c>
      <c r="F24" s="1" t="s">
        <v>8</v>
      </c>
      <c r="G24" s="1"/>
      <c r="H24" s="2"/>
      <c r="I24" s="2"/>
      <c r="J24" s="2"/>
    </row>
    <row r="25" spans="1:10" x14ac:dyDescent="0.2">
      <c r="A25">
        <v>6</v>
      </c>
      <c r="B25" s="1">
        <v>1</v>
      </c>
      <c r="C25" s="1" t="s">
        <v>8</v>
      </c>
      <c r="D25" s="1"/>
      <c r="E25" s="1"/>
      <c r="F25" s="1">
        <v>1</v>
      </c>
      <c r="G25" s="1" t="s">
        <v>8</v>
      </c>
      <c r="H25" s="2"/>
      <c r="I25" s="2"/>
      <c r="J25" s="2"/>
    </row>
    <row r="26" spans="1:10" x14ac:dyDescent="0.2">
      <c r="A26">
        <v>7</v>
      </c>
      <c r="B26" s="1"/>
      <c r="C26" s="1">
        <v>1</v>
      </c>
      <c r="D26" s="1" t="s">
        <v>8</v>
      </c>
      <c r="E26" s="1" t="s">
        <v>8</v>
      </c>
      <c r="F26" s="1">
        <v>1</v>
      </c>
      <c r="G26" s="1"/>
      <c r="H26" s="2"/>
      <c r="I26" s="2"/>
      <c r="J26" s="2"/>
    </row>
    <row r="27" spans="1:10" x14ac:dyDescent="0.2">
      <c r="A27">
        <v>8</v>
      </c>
      <c r="B27" s="1"/>
      <c r="C27" s="1"/>
      <c r="D27" s="1">
        <v>1</v>
      </c>
      <c r="E27" s="1"/>
      <c r="F27" s="1" t="s">
        <v>8</v>
      </c>
      <c r="G27" s="1">
        <v>1</v>
      </c>
      <c r="H27" s="2"/>
      <c r="I27" s="2"/>
      <c r="J27" s="2"/>
    </row>
    <row r="28" spans="1:10" x14ac:dyDescent="0.2">
      <c r="A28">
        <v>9</v>
      </c>
      <c r="B28" s="1"/>
      <c r="C28" s="1"/>
      <c r="D28" s="1">
        <v>1</v>
      </c>
      <c r="E28" s="1"/>
      <c r="F28" s="1">
        <v>1</v>
      </c>
      <c r="G28" s="1" t="s">
        <v>8</v>
      </c>
      <c r="H28" s="2"/>
      <c r="I28" s="2"/>
      <c r="J28" s="2"/>
    </row>
    <row r="29" spans="1:10" x14ac:dyDescent="0.2">
      <c r="B29" s="3">
        <v>2</v>
      </c>
      <c r="C29" s="3">
        <v>3</v>
      </c>
      <c r="D29" s="4">
        <v>0</v>
      </c>
      <c r="E29" s="3">
        <v>3</v>
      </c>
      <c r="F29" s="3">
        <v>0</v>
      </c>
      <c r="G29" s="3">
        <v>2</v>
      </c>
      <c r="H29" s="2"/>
      <c r="I29" s="2"/>
      <c r="J29" s="2"/>
    </row>
    <row r="31" spans="1:10" ht="19.899999999999999" customHeight="1" x14ac:dyDescent="0.2"/>
    <row r="32" spans="1:10" ht="19.899999999999999" customHeight="1" x14ac:dyDescent="0.2"/>
    <row r="33" ht="19.899999999999999" customHeight="1" x14ac:dyDescent="0.2"/>
    <row r="34" ht="19.899999999999999" customHeight="1" x14ac:dyDescent="0.2"/>
    <row r="35" ht="19.899999999999999" customHeight="1" x14ac:dyDescent="0.2"/>
    <row r="36" ht="19.899999999999999" customHeight="1" x14ac:dyDescent="0.2"/>
    <row r="37" ht="19.899999999999999" customHeight="1" x14ac:dyDescent="0.2"/>
    <row r="38" ht="19.899999999999999" customHeight="1" x14ac:dyDescent="0.2"/>
    <row r="39" ht="19.899999999999999" customHeight="1" x14ac:dyDescent="0.2"/>
    <row r="40" ht="19.899999999999999" customHeight="1" x14ac:dyDescent="0.2"/>
    <row r="41" ht="19.899999999999999" customHeight="1" x14ac:dyDescent="0.2"/>
  </sheetData>
  <mergeCells count="2">
    <mergeCell ref="B18:D18"/>
    <mergeCell ref="E18:G18"/>
  </mergeCells>
  <phoneticPr fontId="1"/>
  <pageMargins left="0.75" right="0.75" top="1" bottom="1" header="0.51200000000000001" footer="0.51200000000000001"/>
  <pageSetup paperSize="9" orientation="portrait" horizontalDpi="4294967293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8" r:id="rId4">
          <objectPr defaultSize="0" r:id="rId5">
            <anchor moveWithCells="1">
              <from>
                <xdr:col>10</xdr:col>
                <xdr:colOff>0</xdr:colOff>
                <xdr:row>34</xdr:row>
                <xdr:rowOff>44450</xdr:rowOff>
              </from>
              <to>
                <xdr:col>21</xdr:col>
                <xdr:colOff>488950</xdr:colOff>
                <xdr:row>50</xdr:row>
                <xdr:rowOff>31750</xdr:rowOff>
              </to>
            </anchor>
          </objectPr>
        </oleObject>
      </mc:Choice>
      <mc:Fallback>
        <oleObject progId="Word.Document.8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DDAB-C2D4-435C-8F94-58EC236A0694}">
  <dimension ref="C4:P16"/>
  <sheetViews>
    <sheetView zoomScale="120" zoomScaleNormal="120" workbookViewId="0">
      <selection activeCell="E19" sqref="E19"/>
    </sheetView>
  </sheetViews>
  <sheetFormatPr defaultRowHeight="13" x14ac:dyDescent="0.2"/>
  <cols>
    <col min="13" max="13" width="11.453125" style="20" customWidth="1"/>
  </cols>
  <sheetData>
    <row r="4" spans="3:16" ht="17" thickBot="1" x14ac:dyDescent="0.3">
      <c r="C4" s="7"/>
      <c r="D4" s="24" t="s">
        <v>0</v>
      </c>
      <c r="E4" s="24"/>
      <c r="F4" s="24"/>
      <c r="G4" s="25" t="s">
        <v>1</v>
      </c>
      <c r="H4" s="25"/>
      <c r="I4" s="25"/>
      <c r="J4" s="6" t="s">
        <v>9</v>
      </c>
      <c r="K4" s="6" t="s">
        <v>10</v>
      </c>
    </row>
    <row r="5" spans="3:16" ht="16.5" x14ac:dyDescent="0.25">
      <c r="C5" s="7" t="s">
        <v>11</v>
      </c>
      <c r="D5" s="9" t="s">
        <v>2</v>
      </c>
      <c r="E5" s="10" t="s">
        <v>3</v>
      </c>
      <c r="F5" s="11" t="s">
        <v>4</v>
      </c>
      <c r="G5" s="9" t="s">
        <v>5</v>
      </c>
      <c r="H5" s="10" t="s">
        <v>6</v>
      </c>
      <c r="I5" s="11" t="s">
        <v>7</v>
      </c>
      <c r="J5" s="18" t="s">
        <v>12</v>
      </c>
      <c r="K5" s="7" t="s">
        <v>13</v>
      </c>
      <c r="L5" s="6" t="s">
        <v>14</v>
      </c>
      <c r="M5" s="21" t="s">
        <v>15</v>
      </c>
    </row>
    <row r="6" spans="3:16" ht="16.5" x14ac:dyDescent="0.25">
      <c r="C6" s="7">
        <v>1</v>
      </c>
      <c r="D6" s="12" t="s">
        <v>8</v>
      </c>
      <c r="E6" s="8">
        <v>1</v>
      </c>
      <c r="F6" s="13"/>
      <c r="G6" s="12">
        <v>1</v>
      </c>
      <c r="H6" s="8"/>
      <c r="I6" s="13"/>
      <c r="J6">
        <f>SUMPRODUCT($D$16:$I$16,D6:I6)</f>
        <v>13</v>
      </c>
      <c r="K6">
        <v>0</v>
      </c>
      <c r="L6">
        <f>J6+K6</f>
        <v>13</v>
      </c>
      <c r="M6">
        <f>L6-(J7+1)</f>
        <v>1</v>
      </c>
      <c r="P6">
        <v>1</v>
      </c>
    </row>
    <row r="7" spans="3:16" ht="16.5" x14ac:dyDescent="0.25">
      <c r="C7" s="7">
        <v>2</v>
      </c>
      <c r="D7" s="12" t="s">
        <v>8</v>
      </c>
      <c r="E7" s="8">
        <v>1</v>
      </c>
      <c r="F7" s="13"/>
      <c r="G7" s="12"/>
      <c r="H7" s="8" t="s">
        <v>8</v>
      </c>
      <c r="I7" s="13">
        <v>1</v>
      </c>
      <c r="J7">
        <f t="shared" ref="J7:J14" si="0">SUMPRODUCT($D$16:$I$16,D7:I7)</f>
        <v>11</v>
      </c>
      <c r="K7">
        <v>2</v>
      </c>
      <c r="L7">
        <f t="shared" ref="L7:L13" si="1">J7+K7</f>
        <v>13</v>
      </c>
      <c r="M7">
        <f t="shared" ref="M7:M13" si="2">L7-(J8+1)</f>
        <v>0</v>
      </c>
      <c r="P7">
        <v>2</v>
      </c>
    </row>
    <row r="8" spans="3:16" ht="16.5" x14ac:dyDescent="0.25">
      <c r="C8" s="7">
        <v>3</v>
      </c>
      <c r="D8" s="12">
        <v>1</v>
      </c>
      <c r="E8" s="8"/>
      <c r="F8" s="13"/>
      <c r="G8" s="12">
        <v>1</v>
      </c>
      <c r="H8" s="8"/>
      <c r="I8" s="13" t="s">
        <v>8</v>
      </c>
      <c r="J8">
        <f t="shared" si="0"/>
        <v>12</v>
      </c>
      <c r="K8">
        <v>0</v>
      </c>
      <c r="L8">
        <f t="shared" si="1"/>
        <v>12</v>
      </c>
      <c r="M8">
        <f t="shared" si="2"/>
        <v>1</v>
      </c>
      <c r="P8">
        <v>2</v>
      </c>
    </row>
    <row r="9" spans="3:16" ht="16.5" x14ac:dyDescent="0.25">
      <c r="C9" s="7">
        <v>4</v>
      </c>
      <c r="D9" s="12">
        <v>1</v>
      </c>
      <c r="E9" s="8" t="s">
        <v>8</v>
      </c>
      <c r="F9" s="13"/>
      <c r="G9" s="12" t="s">
        <v>8</v>
      </c>
      <c r="H9" s="8"/>
      <c r="I9" s="13">
        <v>1</v>
      </c>
      <c r="J9">
        <f t="shared" si="0"/>
        <v>10</v>
      </c>
      <c r="K9">
        <v>0</v>
      </c>
      <c r="L9">
        <f t="shared" si="1"/>
        <v>10</v>
      </c>
      <c r="M9">
        <f t="shared" si="2"/>
        <v>0</v>
      </c>
      <c r="P9">
        <v>4</v>
      </c>
    </row>
    <row r="10" spans="3:16" ht="16.5" x14ac:dyDescent="0.25">
      <c r="C10" s="7">
        <v>5</v>
      </c>
      <c r="D10" s="12"/>
      <c r="E10" s="8" t="s">
        <v>8</v>
      </c>
      <c r="F10" s="13">
        <v>1</v>
      </c>
      <c r="G10" s="12">
        <v>1</v>
      </c>
      <c r="H10" s="8" t="s">
        <v>8</v>
      </c>
      <c r="I10" s="13"/>
      <c r="J10">
        <f t="shared" si="0"/>
        <v>9</v>
      </c>
      <c r="K10">
        <v>0</v>
      </c>
      <c r="L10">
        <f t="shared" si="1"/>
        <v>9</v>
      </c>
      <c r="M10">
        <f t="shared" si="2"/>
        <v>1</v>
      </c>
      <c r="P10">
        <v>5</v>
      </c>
    </row>
    <row r="11" spans="3:16" ht="16.5" x14ac:dyDescent="0.25">
      <c r="C11" s="7">
        <v>6</v>
      </c>
      <c r="D11" s="12">
        <v>1</v>
      </c>
      <c r="E11" s="8" t="s">
        <v>8</v>
      </c>
      <c r="F11" s="13"/>
      <c r="G11" s="12"/>
      <c r="H11" s="8">
        <v>1</v>
      </c>
      <c r="I11" s="13" t="s">
        <v>8</v>
      </c>
      <c r="J11">
        <f t="shared" si="0"/>
        <v>7</v>
      </c>
      <c r="K11">
        <v>2</v>
      </c>
      <c r="L11">
        <f t="shared" si="1"/>
        <v>9</v>
      </c>
      <c r="M11">
        <f t="shared" si="2"/>
        <v>0</v>
      </c>
      <c r="P11">
        <v>7</v>
      </c>
    </row>
    <row r="12" spans="3:16" ht="16.5" x14ac:dyDescent="0.25">
      <c r="C12" s="7">
        <v>7</v>
      </c>
      <c r="D12" s="12"/>
      <c r="E12" s="8">
        <v>1</v>
      </c>
      <c r="F12" s="13" t="s">
        <v>8</v>
      </c>
      <c r="G12" s="12" t="s">
        <v>8</v>
      </c>
      <c r="H12" s="8">
        <v>1</v>
      </c>
      <c r="I12" s="13"/>
      <c r="J12">
        <f t="shared" si="0"/>
        <v>8</v>
      </c>
      <c r="K12">
        <v>0</v>
      </c>
      <c r="L12">
        <f t="shared" si="1"/>
        <v>8</v>
      </c>
      <c r="M12">
        <f t="shared" si="2"/>
        <v>0</v>
      </c>
      <c r="P12">
        <v>5</v>
      </c>
    </row>
    <row r="13" spans="3:16" ht="16.5" x14ac:dyDescent="0.25">
      <c r="C13" s="7">
        <v>8</v>
      </c>
      <c r="D13" s="12"/>
      <c r="E13" s="8"/>
      <c r="F13" s="13">
        <v>1</v>
      </c>
      <c r="G13" s="12"/>
      <c r="H13" s="8" t="s">
        <v>8</v>
      </c>
      <c r="I13" s="13">
        <v>1</v>
      </c>
      <c r="J13">
        <f t="shared" si="0"/>
        <v>7</v>
      </c>
      <c r="K13">
        <v>0</v>
      </c>
      <c r="L13">
        <f t="shared" si="1"/>
        <v>7</v>
      </c>
      <c r="M13">
        <f t="shared" si="2"/>
        <v>2</v>
      </c>
      <c r="P13">
        <v>7</v>
      </c>
    </row>
    <row r="14" spans="3:16" ht="17" thickBot="1" x14ac:dyDescent="0.3">
      <c r="C14" s="7">
        <v>9</v>
      </c>
      <c r="D14" s="14"/>
      <c r="E14" s="15"/>
      <c r="F14" s="16">
        <v>1</v>
      </c>
      <c r="G14" s="14"/>
      <c r="H14" s="15">
        <v>1</v>
      </c>
      <c r="I14" s="16" t="s">
        <v>8</v>
      </c>
      <c r="J14">
        <f t="shared" si="0"/>
        <v>4</v>
      </c>
      <c r="P14">
        <v>9</v>
      </c>
    </row>
    <row r="16" spans="3:16" x14ac:dyDescent="0.2">
      <c r="C16" t="s">
        <v>16</v>
      </c>
      <c r="D16" s="17">
        <v>6</v>
      </c>
      <c r="E16" s="17">
        <v>7</v>
      </c>
      <c r="F16" s="17">
        <v>3</v>
      </c>
      <c r="G16" s="17">
        <v>6</v>
      </c>
      <c r="H16" s="17">
        <v>1</v>
      </c>
      <c r="I16" s="17">
        <v>4</v>
      </c>
      <c r="K16" s="19">
        <f>SUM(K6:K13)</f>
        <v>4</v>
      </c>
    </row>
  </sheetData>
  <mergeCells count="2">
    <mergeCell ref="D4:F4"/>
    <mergeCell ref="G4:I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192B-F426-4F2E-B6B6-ED784637A976}">
  <dimension ref="C4:M16"/>
  <sheetViews>
    <sheetView zoomScale="115" zoomScaleNormal="115" workbookViewId="0">
      <selection activeCell="N14" sqref="N14"/>
    </sheetView>
  </sheetViews>
  <sheetFormatPr defaultRowHeight="13" x14ac:dyDescent="0.2"/>
  <cols>
    <col min="13" max="13" width="11.453125" style="20" customWidth="1"/>
  </cols>
  <sheetData>
    <row r="4" spans="3:13" ht="17" thickBot="1" x14ac:dyDescent="0.3">
      <c r="C4" s="7"/>
      <c r="D4" s="24" t="s">
        <v>0</v>
      </c>
      <c r="E4" s="24"/>
      <c r="F4" s="24"/>
      <c r="G4" s="25" t="s">
        <v>1</v>
      </c>
      <c r="H4" s="25"/>
      <c r="I4" s="25"/>
      <c r="J4" s="6" t="s">
        <v>9</v>
      </c>
      <c r="K4" s="6" t="s">
        <v>10</v>
      </c>
    </row>
    <row r="5" spans="3:13" ht="16.5" x14ac:dyDescent="0.25">
      <c r="C5" s="7" t="s">
        <v>11</v>
      </c>
      <c r="D5" s="9" t="s">
        <v>2</v>
      </c>
      <c r="E5" s="10" t="s">
        <v>3</v>
      </c>
      <c r="F5" s="11" t="s">
        <v>4</v>
      </c>
      <c r="G5" s="9" t="s">
        <v>5</v>
      </c>
      <c r="H5" s="10" t="s">
        <v>6</v>
      </c>
      <c r="I5" s="11" t="s">
        <v>7</v>
      </c>
      <c r="J5" s="18" t="s">
        <v>12</v>
      </c>
      <c r="K5" s="7" t="s">
        <v>13</v>
      </c>
      <c r="L5" s="6" t="s">
        <v>14</v>
      </c>
      <c r="M5" s="21" t="s">
        <v>15</v>
      </c>
    </row>
    <row r="6" spans="3:13" ht="16.5" x14ac:dyDescent="0.25">
      <c r="C6" s="7">
        <v>1</v>
      </c>
      <c r="D6" s="12" t="s">
        <v>8</v>
      </c>
      <c r="E6" s="8">
        <v>1</v>
      </c>
      <c r="F6" s="13"/>
      <c r="G6" s="12">
        <v>1</v>
      </c>
      <c r="H6" s="8"/>
      <c r="I6" s="13"/>
      <c r="J6">
        <f>SUMPRODUCT(D6:I6,$D$16:$I$16)</f>
        <v>6</v>
      </c>
      <c r="K6" s="29">
        <v>0</v>
      </c>
      <c r="L6">
        <f>J6+K6</f>
        <v>6</v>
      </c>
      <c r="M6" s="28">
        <f>L6-J7-1</f>
        <v>0</v>
      </c>
    </row>
    <row r="7" spans="3:13" ht="16.5" x14ac:dyDescent="0.25">
      <c r="C7" s="7">
        <v>2</v>
      </c>
      <c r="D7" s="12" t="s">
        <v>8</v>
      </c>
      <c r="E7" s="8">
        <v>1</v>
      </c>
      <c r="F7" s="13"/>
      <c r="G7" s="12"/>
      <c r="H7" s="8" t="s">
        <v>8</v>
      </c>
      <c r="I7" s="13">
        <v>1</v>
      </c>
      <c r="J7">
        <f t="shared" ref="J7:J14" si="0">SUMPRODUCT(D7:I7,$D$16:$I$16)</f>
        <v>5</v>
      </c>
      <c r="K7" s="29">
        <v>1</v>
      </c>
      <c r="L7">
        <f t="shared" ref="L7:L14" si="1">J7+K7</f>
        <v>6</v>
      </c>
      <c r="M7" s="28">
        <f t="shared" ref="M7:M13" si="2">L7-J8-1</f>
        <v>0</v>
      </c>
    </row>
    <row r="8" spans="3:13" ht="16.5" x14ac:dyDescent="0.25">
      <c r="C8" s="7">
        <v>3</v>
      </c>
      <c r="D8" s="12">
        <v>1</v>
      </c>
      <c r="E8" s="8"/>
      <c r="F8" s="13"/>
      <c r="G8" s="12">
        <v>1</v>
      </c>
      <c r="H8" s="8"/>
      <c r="I8" s="13" t="s">
        <v>8</v>
      </c>
      <c r="J8">
        <f t="shared" si="0"/>
        <v>5</v>
      </c>
      <c r="K8" s="29">
        <v>0</v>
      </c>
      <c r="L8">
        <f t="shared" si="1"/>
        <v>5</v>
      </c>
      <c r="M8" s="28">
        <f t="shared" si="2"/>
        <v>0</v>
      </c>
    </row>
    <row r="9" spans="3:13" ht="16.5" x14ac:dyDescent="0.25">
      <c r="C9" s="7">
        <v>4</v>
      </c>
      <c r="D9" s="12">
        <v>1</v>
      </c>
      <c r="E9" s="8" t="s">
        <v>8</v>
      </c>
      <c r="F9" s="13"/>
      <c r="G9" s="12" t="s">
        <v>8</v>
      </c>
      <c r="H9" s="8"/>
      <c r="I9" s="13">
        <v>1</v>
      </c>
      <c r="J9">
        <f t="shared" si="0"/>
        <v>4</v>
      </c>
      <c r="K9" s="29">
        <v>0</v>
      </c>
      <c r="L9">
        <f t="shared" si="1"/>
        <v>4</v>
      </c>
      <c r="M9" s="28">
        <f t="shared" si="2"/>
        <v>0</v>
      </c>
    </row>
    <row r="10" spans="3:13" ht="16.5" x14ac:dyDescent="0.25">
      <c r="C10" s="7">
        <v>5</v>
      </c>
      <c r="D10" s="12"/>
      <c r="E10" s="8" t="s">
        <v>8</v>
      </c>
      <c r="F10" s="13">
        <v>1</v>
      </c>
      <c r="G10" s="12">
        <v>1</v>
      </c>
      <c r="H10" s="8" t="s">
        <v>8</v>
      </c>
      <c r="I10" s="13"/>
      <c r="J10">
        <f t="shared" si="0"/>
        <v>3</v>
      </c>
      <c r="K10" s="29">
        <v>0</v>
      </c>
      <c r="L10">
        <f t="shared" si="1"/>
        <v>3</v>
      </c>
      <c r="M10" s="28">
        <f t="shared" si="2"/>
        <v>0</v>
      </c>
    </row>
    <row r="11" spans="3:13" ht="16.5" x14ac:dyDescent="0.25">
      <c r="C11" s="7">
        <v>6</v>
      </c>
      <c r="D11" s="12">
        <v>1</v>
      </c>
      <c r="E11" s="8" t="s">
        <v>8</v>
      </c>
      <c r="F11" s="13"/>
      <c r="G11" s="12"/>
      <c r="H11" s="8">
        <v>1</v>
      </c>
      <c r="I11" s="13" t="s">
        <v>8</v>
      </c>
      <c r="J11">
        <f t="shared" si="0"/>
        <v>2</v>
      </c>
      <c r="K11" s="29">
        <v>2</v>
      </c>
      <c r="L11">
        <f t="shared" si="1"/>
        <v>4</v>
      </c>
      <c r="M11" s="28">
        <f t="shared" si="2"/>
        <v>0</v>
      </c>
    </row>
    <row r="12" spans="3:13" ht="16.5" x14ac:dyDescent="0.25">
      <c r="C12" s="7">
        <v>7</v>
      </c>
      <c r="D12" s="12"/>
      <c r="E12" s="8">
        <v>1</v>
      </c>
      <c r="F12" s="13" t="s">
        <v>8</v>
      </c>
      <c r="G12" s="12" t="s">
        <v>8</v>
      </c>
      <c r="H12" s="8">
        <v>1</v>
      </c>
      <c r="I12" s="13"/>
      <c r="J12">
        <f t="shared" si="0"/>
        <v>3</v>
      </c>
      <c r="K12" s="29">
        <v>0</v>
      </c>
      <c r="L12">
        <f t="shared" si="1"/>
        <v>3</v>
      </c>
      <c r="M12" s="28">
        <f t="shared" si="2"/>
        <v>0</v>
      </c>
    </row>
    <row r="13" spans="3:13" ht="16.5" x14ac:dyDescent="0.25">
      <c r="C13" s="7">
        <v>8</v>
      </c>
      <c r="D13" s="12"/>
      <c r="E13" s="8"/>
      <c r="F13" s="13">
        <v>1</v>
      </c>
      <c r="G13" s="12"/>
      <c r="H13" s="8" t="s">
        <v>8</v>
      </c>
      <c r="I13" s="13">
        <v>1</v>
      </c>
      <c r="J13">
        <f t="shared" si="0"/>
        <v>2</v>
      </c>
      <c r="K13" s="29">
        <v>0</v>
      </c>
      <c r="L13">
        <f t="shared" si="1"/>
        <v>2</v>
      </c>
      <c r="M13" s="28">
        <f t="shared" si="2"/>
        <v>1</v>
      </c>
    </row>
    <row r="14" spans="3:13" ht="17" thickBot="1" x14ac:dyDescent="0.3">
      <c r="C14" s="7">
        <v>9</v>
      </c>
      <c r="D14" s="14"/>
      <c r="E14" s="15"/>
      <c r="F14" s="16">
        <v>1</v>
      </c>
      <c r="G14" s="14"/>
      <c r="H14" s="15">
        <v>1</v>
      </c>
      <c r="I14" s="16" t="s">
        <v>8</v>
      </c>
      <c r="J14">
        <f t="shared" si="0"/>
        <v>0</v>
      </c>
    </row>
    <row r="16" spans="3:13" x14ac:dyDescent="0.2">
      <c r="C16" t="s">
        <v>16</v>
      </c>
      <c r="D16" s="17">
        <v>2</v>
      </c>
      <c r="E16" s="17">
        <v>3</v>
      </c>
      <c r="F16" s="17">
        <v>0</v>
      </c>
      <c r="G16" s="17">
        <v>3</v>
      </c>
      <c r="H16" s="17">
        <v>0</v>
      </c>
      <c r="I16" s="17">
        <v>2</v>
      </c>
      <c r="K16" s="19">
        <f>SUM(K6:K13)</f>
        <v>3</v>
      </c>
    </row>
  </sheetData>
  <mergeCells count="2">
    <mergeCell ref="D4:F4"/>
    <mergeCell ref="G4:I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3"/>
  <sheetViews>
    <sheetView tabSelected="1" workbookViewId="0">
      <selection activeCell="E24" sqref="E24"/>
    </sheetView>
  </sheetViews>
  <sheetFormatPr defaultRowHeight="13" x14ac:dyDescent="0.2"/>
  <sheetData>
    <row r="2" spans="1:13" x14ac:dyDescent="0.2">
      <c r="B2" s="26" t="s">
        <v>17</v>
      </c>
      <c r="C2" s="26"/>
      <c r="D2" s="26"/>
      <c r="E2" s="26" t="s">
        <v>18</v>
      </c>
      <c r="F2" s="26"/>
      <c r="G2" s="26"/>
      <c r="H2" s="26" t="s">
        <v>19</v>
      </c>
      <c r="I2" s="26"/>
      <c r="J2" s="26"/>
      <c r="K2" s="27" t="s">
        <v>20</v>
      </c>
      <c r="L2" s="27"/>
      <c r="M2" s="27"/>
    </row>
    <row r="3" spans="1:13" x14ac:dyDescent="0.2">
      <c r="A3" s="1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</v>
      </c>
      <c r="I3" s="5" t="s">
        <v>28</v>
      </c>
      <c r="J3" s="5" t="s">
        <v>29</v>
      </c>
      <c r="K3" s="1" t="s">
        <v>30</v>
      </c>
      <c r="L3" s="1" t="s">
        <v>31</v>
      </c>
      <c r="M3" s="1" t="s">
        <v>32</v>
      </c>
    </row>
    <row r="4" spans="1:13" x14ac:dyDescent="0.2">
      <c r="A4" s="1">
        <v>1</v>
      </c>
      <c r="B4" s="1">
        <v>1</v>
      </c>
      <c r="C4" s="1"/>
      <c r="D4" s="1"/>
      <c r="E4" s="1"/>
      <c r="F4" s="1" t="s">
        <v>8</v>
      </c>
      <c r="G4" s="1">
        <v>1</v>
      </c>
      <c r="H4" s="1"/>
      <c r="I4" s="1"/>
      <c r="J4" s="1">
        <v>1</v>
      </c>
      <c r="K4" s="1"/>
      <c r="L4" s="1"/>
      <c r="M4" s="1">
        <v>1</v>
      </c>
    </row>
    <row r="5" spans="1:13" x14ac:dyDescent="0.2">
      <c r="A5" s="1">
        <v>2</v>
      </c>
      <c r="B5" s="1">
        <v>1</v>
      </c>
      <c r="C5" s="1"/>
      <c r="D5" s="1"/>
      <c r="E5" s="1"/>
      <c r="F5" s="1"/>
      <c r="G5" s="1">
        <v>1</v>
      </c>
      <c r="H5" s="1">
        <v>1</v>
      </c>
      <c r="I5" s="1"/>
      <c r="J5" s="1"/>
      <c r="K5" s="1"/>
      <c r="L5" s="1"/>
      <c r="M5" s="1">
        <v>1</v>
      </c>
    </row>
    <row r="6" spans="1:13" x14ac:dyDescent="0.2">
      <c r="A6" s="1">
        <v>3</v>
      </c>
      <c r="B6" s="1"/>
      <c r="C6" s="1">
        <v>1</v>
      </c>
      <c r="D6" s="1"/>
      <c r="E6" s="1"/>
      <c r="F6" s="1">
        <v>1</v>
      </c>
      <c r="G6" s="1"/>
      <c r="H6" s="1"/>
      <c r="I6" s="1"/>
      <c r="J6" s="1">
        <v>1</v>
      </c>
      <c r="K6" s="1"/>
      <c r="L6" s="1"/>
      <c r="M6" s="1">
        <v>1</v>
      </c>
    </row>
    <row r="7" spans="1:13" x14ac:dyDescent="0.2">
      <c r="A7" s="1">
        <v>4</v>
      </c>
      <c r="B7" s="1"/>
      <c r="C7" s="1"/>
      <c r="D7" s="1">
        <v>1</v>
      </c>
      <c r="E7" s="1"/>
      <c r="F7" s="1"/>
      <c r="G7" s="1">
        <v>1</v>
      </c>
      <c r="H7" s="1"/>
      <c r="I7" s="1">
        <v>1</v>
      </c>
      <c r="J7" s="1"/>
      <c r="K7" s="1"/>
      <c r="L7" s="1">
        <v>1</v>
      </c>
      <c r="M7" s="1"/>
    </row>
    <row r="8" spans="1:13" x14ac:dyDescent="0.2">
      <c r="A8" s="1">
        <v>5</v>
      </c>
      <c r="B8" s="1"/>
      <c r="C8" s="1">
        <v>1</v>
      </c>
      <c r="D8" s="1"/>
      <c r="E8" s="1">
        <v>1</v>
      </c>
      <c r="F8" s="1"/>
      <c r="G8" s="1"/>
      <c r="H8" s="1"/>
      <c r="I8" s="1">
        <v>1</v>
      </c>
      <c r="J8" s="1"/>
      <c r="K8" s="1"/>
      <c r="L8" s="1"/>
      <c r="M8" s="1">
        <v>1</v>
      </c>
    </row>
    <row r="9" spans="1:13" x14ac:dyDescent="0.2">
      <c r="A9" s="1">
        <v>6</v>
      </c>
      <c r="B9" s="1"/>
      <c r="C9" s="1"/>
      <c r="D9" s="1">
        <v>1</v>
      </c>
      <c r="E9" s="1"/>
      <c r="F9" s="1"/>
      <c r="G9" s="1">
        <v>1</v>
      </c>
      <c r="H9" s="1"/>
      <c r="I9" s="1">
        <v>1</v>
      </c>
      <c r="J9" s="1"/>
      <c r="K9" s="1">
        <v>1</v>
      </c>
      <c r="L9" s="1"/>
      <c r="M9" s="1"/>
    </row>
    <row r="10" spans="1:13" x14ac:dyDescent="0.2">
      <c r="A10" s="1">
        <v>7</v>
      </c>
      <c r="B10" s="1">
        <v>1</v>
      </c>
      <c r="C10" s="1"/>
      <c r="D10" s="1"/>
      <c r="E10" s="1"/>
      <c r="F10" s="1"/>
      <c r="G10" s="1">
        <v>1</v>
      </c>
      <c r="H10" s="1"/>
      <c r="I10" s="1"/>
      <c r="J10" s="1">
        <v>1</v>
      </c>
      <c r="K10" s="1"/>
      <c r="L10" s="1">
        <v>1</v>
      </c>
      <c r="M10" s="1"/>
    </row>
    <row r="11" spans="1:13" x14ac:dyDescent="0.2">
      <c r="A11" s="1">
        <v>8</v>
      </c>
      <c r="B11" s="1"/>
      <c r="C11" s="1">
        <v>1</v>
      </c>
      <c r="D11" s="1"/>
      <c r="E11" s="1"/>
      <c r="F11" s="1">
        <v>1</v>
      </c>
      <c r="G11" s="1"/>
      <c r="H11" s="1"/>
      <c r="I11" s="1"/>
      <c r="J11" s="1">
        <v>1</v>
      </c>
      <c r="K11" s="1">
        <v>1</v>
      </c>
      <c r="L11" s="1"/>
      <c r="M11" s="1"/>
    </row>
    <row r="12" spans="1:13" x14ac:dyDescent="0.2">
      <c r="A12" s="1">
        <v>9</v>
      </c>
      <c r="B12" s="1"/>
      <c r="C12" s="1"/>
      <c r="D12" s="1">
        <v>1</v>
      </c>
      <c r="E12" s="1"/>
      <c r="F12" s="1"/>
      <c r="G12" s="1">
        <v>1</v>
      </c>
      <c r="H12" s="1">
        <v>1</v>
      </c>
      <c r="I12" s="1"/>
      <c r="J12" s="1"/>
      <c r="K12" s="1">
        <v>1</v>
      </c>
      <c r="L12" s="1"/>
      <c r="M12" s="1"/>
    </row>
    <row r="13" spans="1:13" x14ac:dyDescent="0.2">
      <c r="A13" s="1">
        <v>10</v>
      </c>
      <c r="B13" s="1"/>
      <c r="C13" s="1"/>
      <c r="D13" s="1">
        <v>1</v>
      </c>
      <c r="E13" s="1"/>
      <c r="F13" s="1"/>
      <c r="G13" s="1">
        <v>1</v>
      </c>
      <c r="H13" s="1"/>
      <c r="I13" s="1"/>
      <c r="J13" s="1">
        <v>1</v>
      </c>
      <c r="K13" s="1"/>
      <c r="L13" s="1">
        <v>1</v>
      </c>
      <c r="M13" s="1"/>
    </row>
    <row r="14" spans="1:13" x14ac:dyDescent="0.2">
      <c r="A14" s="1">
        <v>11</v>
      </c>
      <c r="B14" s="1">
        <v>1</v>
      </c>
      <c r="C14" s="1"/>
      <c r="D14" s="1"/>
      <c r="E14" s="1">
        <v>1</v>
      </c>
      <c r="F14" s="1"/>
      <c r="G14" s="1"/>
      <c r="H14" s="1"/>
      <c r="I14" s="1">
        <v>1</v>
      </c>
      <c r="J14" s="1"/>
      <c r="K14" s="1">
        <v>1</v>
      </c>
      <c r="L14" s="1"/>
      <c r="M14" s="1"/>
    </row>
    <row r="15" spans="1:13" x14ac:dyDescent="0.2">
      <c r="A15" s="1">
        <v>12</v>
      </c>
      <c r="B15" s="1"/>
      <c r="C15" s="1">
        <v>1</v>
      </c>
      <c r="D15" s="1"/>
      <c r="E15" s="1">
        <v>1</v>
      </c>
      <c r="F15" s="1"/>
      <c r="G15" s="1"/>
      <c r="H15" s="1">
        <v>1</v>
      </c>
      <c r="I15" s="1"/>
      <c r="J15" s="1"/>
      <c r="K15" s="1"/>
      <c r="L15" s="1"/>
      <c r="M15" s="1">
        <v>1</v>
      </c>
    </row>
    <row r="16" spans="1:13" x14ac:dyDescent="0.2">
      <c r="A16" s="1">
        <v>13</v>
      </c>
      <c r="B16" s="1"/>
      <c r="C16" s="1"/>
      <c r="D16" s="1">
        <v>1</v>
      </c>
      <c r="E16" s="1"/>
      <c r="F16" s="1"/>
      <c r="G16" s="1">
        <v>1</v>
      </c>
      <c r="H16" s="1"/>
      <c r="I16" s="1">
        <v>1</v>
      </c>
      <c r="J16" s="1"/>
      <c r="K16" s="1"/>
      <c r="L16" s="1">
        <v>1</v>
      </c>
      <c r="M16" s="1"/>
    </row>
    <row r="17" spans="1:13" x14ac:dyDescent="0.2">
      <c r="A17" s="1">
        <v>14</v>
      </c>
      <c r="B17" s="1" t="s">
        <v>8</v>
      </c>
      <c r="C17" s="1"/>
      <c r="D17" s="1">
        <v>1</v>
      </c>
      <c r="E17" s="1"/>
      <c r="F17" s="1"/>
      <c r="G17" s="1">
        <v>1</v>
      </c>
      <c r="H17" s="1"/>
      <c r="I17" s="1"/>
      <c r="J17" s="1">
        <v>1</v>
      </c>
      <c r="K17" s="1"/>
      <c r="L17" s="1">
        <v>1</v>
      </c>
      <c r="M17" s="1"/>
    </row>
    <row r="18" spans="1:13" x14ac:dyDescent="0.2">
      <c r="A18" s="1">
        <v>15</v>
      </c>
      <c r="B18" s="1"/>
      <c r="C18" s="1"/>
      <c r="D18" s="1">
        <v>1</v>
      </c>
      <c r="E18" s="1"/>
      <c r="F18" s="1">
        <v>1</v>
      </c>
      <c r="G18" s="1"/>
      <c r="H18" s="1"/>
      <c r="I18" s="1">
        <v>1</v>
      </c>
      <c r="J18" s="1"/>
      <c r="K18" s="1">
        <v>1</v>
      </c>
      <c r="L18" s="1"/>
      <c r="M18" s="1"/>
    </row>
    <row r="19" spans="1:13" x14ac:dyDescent="0.2">
      <c r="A19" s="1">
        <v>16</v>
      </c>
      <c r="B19" s="1"/>
      <c r="C19" s="1">
        <v>1</v>
      </c>
      <c r="D19" s="1"/>
      <c r="E19" s="1">
        <v>1</v>
      </c>
      <c r="F19" s="1"/>
      <c r="G19" s="1"/>
      <c r="H19" s="1"/>
      <c r="I19" s="1">
        <v>1</v>
      </c>
      <c r="J19" s="1"/>
      <c r="K19" s="1"/>
      <c r="L19" s="1">
        <v>1</v>
      </c>
      <c r="M19" s="1"/>
    </row>
    <row r="20" spans="1:13" x14ac:dyDescent="0.2">
      <c r="A20" s="1">
        <v>17</v>
      </c>
      <c r="B20" s="1"/>
      <c r="C20" s="1">
        <v>1</v>
      </c>
      <c r="D20" s="1"/>
      <c r="E20" s="1"/>
      <c r="F20" s="1">
        <v>1</v>
      </c>
      <c r="G20" s="1"/>
      <c r="H20" s="1"/>
      <c r="I20" s="1"/>
      <c r="J20" s="1">
        <v>1</v>
      </c>
      <c r="K20" s="1">
        <v>1</v>
      </c>
      <c r="L20" s="1"/>
      <c r="M20" s="1"/>
    </row>
    <row r="21" spans="1:13" x14ac:dyDescent="0.2">
      <c r="A21" s="1">
        <v>18</v>
      </c>
      <c r="B21" s="1"/>
      <c r="C21" s="1">
        <v>1</v>
      </c>
      <c r="D21" s="1"/>
      <c r="E21" s="1"/>
      <c r="F21" s="1"/>
      <c r="G21" s="1">
        <v>1</v>
      </c>
      <c r="H21" s="1"/>
      <c r="I21" s="1"/>
      <c r="J21" s="1">
        <v>1</v>
      </c>
      <c r="K21" s="1">
        <v>1</v>
      </c>
      <c r="L21" s="1"/>
      <c r="M21" s="1"/>
    </row>
    <row r="22" spans="1:13" x14ac:dyDescent="0.2">
      <c r="A22" s="1">
        <v>19</v>
      </c>
      <c r="B22" s="1">
        <v>1</v>
      </c>
      <c r="C22" s="1"/>
      <c r="D22" s="1"/>
      <c r="E22" s="1"/>
      <c r="F22" s="1">
        <v>1</v>
      </c>
      <c r="G22" s="1"/>
      <c r="H22" s="1">
        <v>1</v>
      </c>
      <c r="I22" s="1"/>
      <c r="J22" s="1"/>
      <c r="K22" s="1">
        <v>1</v>
      </c>
      <c r="L22" s="1"/>
      <c r="M22" s="1"/>
    </row>
    <row r="23" spans="1:13" x14ac:dyDescent="0.2">
      <c r="A23" s="1">
        <v>20</v>
      </c>
      <c r="B23" s="1"/>
      <c r="C23" s="1"/>
      <c r="D23" s="1">
        <v>1</v>
      </c>
      <c r="E23" s="1">
        <v>1</v>
      </c>
      <c r="F23" s="1"/>
      <c r="G23" s="1"/>
      <c r="H23" s="1">
        <v>1</v>
      </c>
      <c r="I23" s="1"/>
      <c r="J23" s="1"/>
      <c r="K23" s="1">
        <v>1</v>
      </c>
      <c r="L23" s="1"/>
      <c r="M23" s="1"/>
    </row>
  </sheetData>
  <mergeCells count="4">
    <mergeCell ref="B2:D2"/>
    <mergeCell ref="E2:G2"/>
    <mergeCell ref="H2:J2"/>
    <mergeCell ref="K2:M2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車の選択１</vt:lpstr>
      <vt:lpstr>計算練習</vt:lpstr>
      <vt:lpstr>計算練習２</vt:lpstr>
      <vt:lpstr>課題</vt:lpstr>
    </vt:vector>
  </TitlesOfParts>
  <Manager/>
  <Company>静岡大学 工学部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八巻 直一</dc:creator>
  <cp:keywords/>
  <dc:description/>
  <cp:lastModifiedBy>出羽　諒成</cp:lastModifiedBy>
  <cp:revision/>
  <dcterms:created xsi:type="dcterms:W3CDTF">2004-03-02T01:27:29Z</dcterms:created>
  <dcterms:modified xsi:type="dcterms:W3CDTF">2024-11-26T07:39:39Z</dcterms:modified>
  <cp:category/>
  <cp:contentStatus/>
</cp:coreProperties>
</file>